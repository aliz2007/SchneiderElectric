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39672_se_com/Documents/Documents/1- Talent Development/APEX/"/>
    </mc:Choice>
  </mc:AlternateContent>
  <xr:revisionPtr revIDLastSave="56" documentId="13_ncr:1_{1EB99B7F-7655-4460-BD74-4287F5428454}" xr6:coauthVersionLast="47" xr6:coauthVersionMax="47" xr10:uidLastSave="{238874B1-DD21-4617-B3A0-BA9B7863BD0E}"/>
  <bookViews>
    <workbookView xWindow="-110" yWindow="-110" windowWidth="19420" windowHeight="11500" tabRatio="500" activeTab="2" xr2:uid="{00000000-000D-0000-FFFF-FFFF00000000}"/>
  </bookViews>
  <sheets>
    <sheet name="▶ Cover (2)" sheetId="33" r:id="rId1"/>
    <sheet name="▶ Capability Guide" sheetId="2" r:id="rId2"/>
    <sheet name="Employee 1" sheetId="3" r:id="rId3"/>
    <sheet name="Mohamed MARZOUK" sheetId="4" state="hidden" r:id="rId4"/>
    <sheet name="Basim El-Subihy" sheetId="5" state="hidden" r:id="rId5"/>
    <sheet name="Biju Mathew" sheetId="6" state="hidden" r:id="rId6"/>
    <sheet name="Oseid Mohamemed Faqih" sheetId="7" state="hidden" r:id="rId7"/>
    <sheet name="Kamel Bedrane" sheetId="8" state="hidden" r:id="rId8"/>
    <sheet name="Moamen Mohamed Ahmed Ibrahim" sheetId="9" state="hidden" r:id="rId9"/>
    <sheet name="Ahmed Abdel-Maugod" sheetId="10" state="hidden" r:id="rId10"/>
    <sheet name="Moteeb Albaqami" sheetId="11" state="hidden" r:id="rId11"/>
    <sheet name="Anny Rodrigues de Assis " sheetId="12" state="hidden" r:id="rId12"/>
    <sheet name="Eduardo Salles de Carvalho" sheetId="13" state="hidden" r:id="rId13"/>
    <sheet name="Marco Antonio Martins" sheetId="14" state="hidden" r:id="rId14"/>
    <sheet name="AM13" sheetId="15" state="hidden" r:id="rId15"/>
    <sheet name="AM14" sheetId="16" state="hidden" r:id="rId16"/>
    <sheet name="AM15" sheetId="17" state="hidden" r:id="rId17"/>
    <sheet name="AM16" sheetId="18" state="hidden" r:id="rId18"/>
    <sheet name="AM17" sheetId="19" state="hidden" r:id="rId19"/>
    <sheet name="AM18" sheetId="20" state="hidden" r:id="rId20"/>
    <sheet name="Brian Casserly" sheetId="21" state="hidden" r:id="rId21"/>
    <sheet name="Vishal Nayak" sheetId="22" state="hidden" r:id="rId22"/>
    <sheet name="Franky Chan" sheetId="23" state="hidden" r:id="rId23"/>
    <sheet name="AM22" sheetId="24" state="hidden" r:id="rId24"/>
    <sheet name="AM23" sheetId="25" state="hidden" r:id="rId25"/>
    <sheet name="AM24" sheetId="26" state="hidden" r:id="rId26"/>
    <sheet name="AM25" sheetId="27" state="hidden" r:id="rId27"/>
    <sheet name="▶ Consolidation" sheetId="28" r:id="rId28"/>
    <sheet name="▶ Zone MEA" sheetId="29" r:id="rId29"/>
    <sheet name="▶ Zone SAM" sheetId="30" r:id="rId30"/>
    <sheet name="▶ Zone India" sheetId="31" r:id="rId31"/>
    <sheet name="▶ Zone Pacific" sheetId="32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3" l="1"/>
  <c r="I11" i="3"/>
  <c r="H11" i="3"/>
  <c r="AD32" i="28"/>
  <c r="AC32" i="28"/>
  <c r="AD31" i="28"/>
  <c r="AC31" i="28"/>
  <c r="AD30" i="28"/>
  <c r="AC30" i="28"/>
  <c r="AD29" i="28"/>
  <c r="AC29" i="28"/>
  <c r="AD28" i="28"/>
  <c r="AC28" i="28"/>
  <c r="AD27" i="28"/>
  <c r="AC27" i="28"/>
  <c r="AD26" i="28"/>
  <c r="AC26" i="28"/>
  <c r="AD25" i="28"/>
  <c r="AC25" i="28"/>
  <c r="AD24" i="28"/>
  <c r="AC24" i="28"/>
  <c r="AD23" i="28"/>
  <c r="AC23" i="28"/>
  <c r="AD22" i="28"/>
  <c r="AC22" i="28"/>
  <c r="AD21" i="28"/>
  <c r="AC21" i="28"/>
  <c r="AD20" i="28"/>
  <c r="AC20" i="28"/>
  <c r="AD19" i="28"/>
  <c r="AC19" i="28"/>
  <c r="AD18" i="28"/>
  <c r="AC18" i="28"/>
  <c r="AD17" i="28"/>
  <c r="AC17" i="28"/>
  <c r="AD16" i="28"/>
  <c r="AC16" i="28"/>
  <c r="AD15" i="28"/>
  <c r="AC15" i="28"/>
  <c r="AD14" i="28"/>
  <c r="AC14" i="28"/>
  <c r="AD13" i="28"/>
  <c r="AC13" i="28"/>
  <c r="AD12" i="28"/>
  <c r="AC12" i="28"/>
  <c r="AD11" i="28"/>
  <c r="AC11" i="28"/>
  <c r="AD10" i="28"/>
  <c r="AC10" i="28"/>
  <c r="AD9" i="28"/>
  <c r="AC9" i="28"/>
  <c r="AD8" i="28"/>
  <c r="AC8" i="28"/>
  <c r="J32" i="27"/>
  <c r="K29" i="32" s="1"/>
  <c r="I32" i="27"/>
  <c r="O32" i="27" s="1"/>
  <c r="H32" i="27"/>
  <c r="N32" i="27" s="1"/>
  <c r="J31" i="27"/>
  <c r="I31" i="27"/>
  <c r="O31" i="27" s="1"/>
  <c r="H31" i="27"/>
  <c r="N31" i="27" s="1"/>
  <c r="J30" i="27"/>
  <c r="P30" i="27" s="1"/>
  <c r="I30" i="27"/>
  <c r="O30" i="27" s="1"/>
  <c r="H30" i="27"/>
  <c r="N30" i="27" s="1"/>
  <c r="J29" i="27"/>
  <c r="P29" i="27" s="1"/>
  <c r="I29" i="27"/>
  <c r="O29" i="27" s="1"/>
  <c r="H29" i="27"/>
  <c r="N29" i="27" s="1"/>
  <c r="J28" i="27"/>
  <c r="P28" i="27" s="1"/>
  <c r="I28" i="27"/>
  <c r="O28" i="27" s="1"/>
  <c r="H28" i="27"/>
  <c r="N28" i="27" s="1"/>
  <c r="J27" i="27"/>
  <c r="I27" i="27"/>
  <c r="O27" i="27" s="1"/>
  <c r="H27" i="27"/>
  <c r="N27" i="27" s="1"/>
  <c r="J26" i="27"/>
  <c r="K23" i="32" s="1"/>
  <c r="I26" i="27"/>
  <c r="O26" i="27" s="1"/>
  <c r="H26" i="27"/>
  <c r="N26" i="27" s="1"/>
  <c r="J25" i="27"/>
  <c r="K22" i="32" s="1"/>
  <c r="I25" i="27"/>
  <c r="O25" i="27" s="1"/>
  <c r="H25" i="27"/>
  <c r="N25" i="27" s="1"/>
  <c r="J24" i="27"/>
  <c r="I24" i="27"/>
  <c r="O24" i="27" s="1"/>
  <c r="H24" i="27"/>
  <c r="N24" i="27" s="1"/>
  <c r="J23" i="27"/>
  <c r="I23" i="27"/>
  <c r="O23" i="27" s="1"/>
  <c r="H23" i="27"/>
  <c r="N23" i="27" s="1"/>
  <c r="J22" i="27"/>
  <c r="Q32" i="28" s="1"/>
  <c r="I22" i="27"/>
  <c r="O22" i="27" s="1"/>
  <c r="H22" i="27"/>
  <c r="N22" i="27" s="1"/>
  <c r="J21" i="27"/>
  <c r="P21" i="27" s="1"/>
  <c r="I21" i="27"/>
  <c r="O21" i="27" s="1"/>
  <c r="H21" i="27"/>
  <c r="N21" i="27" s="1"/>
  <c r="J20" i="27"/>
  <c r="I20" i="27"/>
  <c r="O20" i="27" s="1"/>
  <c r="H20" i="27"/>
  <c r="N20" i="27" s="1"/>
  <c r="J19" i="27"/>
  <c r="N32" i="28" s="1"/>
  <c r="I19" i="27"/>
  <c r="O19" i="27" s="1"/>
  <c r="H19" i="27"/>
  <c r="N19" i="27" s="1"/>
  <c r="J18" i="27"/>
  <c r="K15" i="32" s="1"/>
  <c r="I18" i="27"/>
  <c r="O18" i="27" s="1"/>
  <c r="H18" i="27"/>
  <c r="N18" i="27" s="1"/>
  <c r="J17" i="27"/>
  <c r="P17" i="27" s="1"/>
  <c r="I17" i="27"/>
  <c r="O17" i="27" s="1"/>
  <c r="H17" i="27"/>
  <c r="N17" i="27" s="1"/>
  <c r="J16" i="27"/>
  <c r="P16" i="27" s="1"/>
  <c r="I16" i="27"/>
  <c r="O16" i="27" s="1"/>
  <c r="H16" i="27"/>
  <c r="N16" i="27" s="1"/>
  <c r="J15" i="27"/>
  <c r="P15" i="27" s="1"/>
  <c r="I15" i="27"/>
  <c r="O15" i="27" s="1"/>
  <c r="H15" i="27"/>
  <c r="N15" i="27" s="1"/>
  <c r="J14" i="27"/>
  <c r="I14" i="27"/>
  <c r="O14" i="27" s="1"/>
  <c r="H14" i="27"/>
  <c r="N14" i="27" s="1"/>
  <c r="J13" i="27"/>
  <c r="I13" i="27"/>
  <c r="O13" i="27" s="1"/>
  <c r="H13" i="27"/>
  <c r="N13" i="27" s="1"/>
  <c r="J12" i="27"/>
  <c r="K9" i="32" s="1"/>
  <c r="I12" i="27"/>
  <c r="O12" i="27" s="1"/>
  <c r="H12" i="27"/>
  <c r="N12" i="27" s="1"/>
  <c r="J11" i="27"/>
  <c r="F32" i="28" s="1"/>
  <c r="I11" i="27"/>
  <c r="O11" i="27" s="1"/>
  <c r="H11" i="27"/>
  <c r="J32" i="26"/>
  <c r="P32" i="26" s="1"/>
  <c r="I32" i="26"/>
  <c r="O32" i="26" s="1"/>
  <c r="H32" i="26"/>
  <c r="N32" i="26" s="1"/>
  <c r="J31" i="26"/>
  <c r="I31" i="26"/>
  <c r="O31" i="26" s="1"/>
  <c r="H31" i="26"/>
  <c r="N31" i="26" s="1"/>
  <c r="J30" i="26"/>
  <c r="J27" i="32" s="1"/>
  <c r="I30" i="26"/>
  <c r="O30" i="26" s="1"/>
  <c r="H30" i="26"/>
  <c r="N30" i="26" s="1"/>
  <c r="J29" i="26"/>
  <c r="J26" i="32" s="1"/>
  <c r="I29" i="26"/>
  <c r="O29" i="26" s="1"/>
  <c r="H29" i="26"/>
  <c r="N29" i="26" s="1"/>
  <c r="J28" i="26"/>
  <c r="I28" i="26"/>
  <c r="O28" i="26" s="1"/>
  <c r="H28" i="26"/>
  <c r="N28" i="26" s="1"/>
  <c r="J27" i="26"/>
  <c r="I27" i="26"/>
  <c r="O27" i="26" s="1"/>
  <c r="H27" i="26"/>
  <c r="N27" i="26" s="1"/>
  <c r="J26" i="26"/>
  <c r="I26" i="26"/>
  <c r="O26" i="26" s="1"/>
  <c r="H26" i="26"/>
  <c r="N26" i="26" s="1"/>
  <c r="J25" i="26"/>
  <c r="P25" i="26" s="1"/>
  <c r="I25" i="26"/>
  <c r="O25" i="26" s="1"/>
  <c r="H25" i="26"/>
  <c r="N25" i="26" s="1"/>
  <c r="J24" i="26"/>
  <c r="I24" i="26"/>
  <c r="O24" i="26" s="1"/>
  <c r="H24" i="26"/>
  <c r="N24" i="26" s="1"/>
  <c r="J23" i="26"/>
  <c r="J20" i="32" s="1"/>
  <c r="I23" i="26"/>
  <c r="O23" i="26" s="1"/>
  <c r="H23" i="26"/>
  <c r="N23" i="26" s="1"/>
  <c r="J22" i="26"/>
  <c r="J19" i="32" s="1"/>
  <c r="I22" i="26"/>
  <c r="O22" i="26" s="1"/>
  <c r="H22" i="26"/>
  <c r="N22" i="26" s="1"/>
  <c r="J21" i="26"/>
  <c r="P21" i="26" s="1"/>
  <c r="I21" i="26"/>
  <c r="O21" i="26" s="1"/>
  <c r="H21" i="26"/>
  <c r="N21" i="26" s="1"/>
  <c r="J20" i="26"/>
  <c r="I20" i="26"/>
  <c r="O20" i="26" s="1"/>
  <c r="H20" i="26"/>
  <c r="N20" i="26" s="1"/>
  <c r="J19" i="26"/>
  <c r="I19" i="26"/>
  <c r="O19" i="26" s="1"/>
  <c r="H19" i="26"/>
  <c r="N19" i="26" s="1"/>
  <c r="J18" i="26"/>
  <c r="I18" i="26"/>
  <c r="O18" i="26" s="1"/>
  <c r="H18" i="26"/>
  <c r="N18" i="26" s="1"/>
  <c r="J17" i="26"/>
  <c r="I17" i="26"/>
  <c r="O17" i="26" s="1"/>
  <c r="H17" i="26"/>
  <c r="N17" i="26" s="1"/>
  <c r="J16" i="26"/>
  <c r="K31" i="28" s="1"/>
  <c r="I16" i="26"/>
  <c r="O16" i="26" s="1"/>
  <c r="H16" i="26"/>
  <c r="N16" i="26" s="1"/>
  <c r="J15" i="26"/>
  <c r="J31" i="28" s="1"/>
  <c r="I15" i="26"/>
  <c r="O15" i="26" s="1"/>
  <c r="H15" i="26"/>
  <c r="N15" i="26" s="1"/>
  <c r="J14" i="26"/>
  <c r="I14" i="26"/>
  <c r="O14" i="26" s="1"/>
  <c r="H14" i="26"/>
  <c r="N14" i="26" s="1"/>
  <c r="J13" i="26"/>
  <c r="P13" i="26" s="1"/>
  <c r="I13" i="26"/>
  <c r="O13" i="26" s="1"/>
  <c r="H13" i="26"/>
  <c r="N13" i="26" s="1"/>
  <c r="J12" i="26"/>
  <c r="I12" i="26"/>
  <c r="O12" i="26" s="1"/>
  <c r="H12" i="26"/>
  <c r="N12" i="26" s="1"/>
  <c r="J11" i="26"/>
  <c r="I11" i="26"/>
  <c r="H11" i="26"/>
  <c r="J32" i="25"/>
  <c r="P32" i="25" s="1"/>
  <c r="I32" i="25"/>
  <c r="O32" i="25" s="1"/>
  <c r="H32" i="25"/>
  <c r="N32" i="25" s="1"/>
  <c r="J31" i="25"/>
  <c r="P31" i="25" s="1"/>
  <c r="I31" i="25"/>
  <c r="O31" i="25" s="1"/>
  <c r="H31" i="25"/>
  <c r="N31" i="25" s="1"/>
  <c r="J30" i="25"/>
  <c r="P30" i="25" s="1"/>
  <c r="I30" i="25"/>
  <c r="O30" i="25" s="1"/>
  <c r="H30" i="25"/>
  <c r="N30" i="25" s="1"/>
  <c r="J29" i="25"/>
  <c r="I29" i="25"/>
  <c r="O29" i="25" s="1"/>
  <c r="H29" i="25"/>
  <c r="N29" i="25" s="1"/>
  <c r="J28" i="25"/>
  <c r="I28" i="25"/>
  <c r="O28" i="25" s="1"/>
  <c r="H28" i="25"/>
  <c r="N28" i="25" s="1"/>
  <c r="J27" i="25"/>
  <c r="P27" i="25" s="1"/>
  <c r="I27" i="25"/>
  <c r="O27" i="25" s="1"/>
  <c r="H27" i="25"/>
  <c r="N27" i="25" s="1"/>
  <c r="J26" i="25"/>
  <c r="I23" i="32" s="1"/>
  <c r="I26" i="25"/>
  <c r="O26" i="25" s="1"/>
  <c r="H26" i="25"/>
  <c r="N26" i="25" s="1"/>
  <c r="J25" i="25"/>
  <c r="I25" i="25"/>
  <c r="O25" i="25" s="1"/>
  <c r="H25" i="25"/>
  <c r="N25" i="25" s="1"/>
  <c r="J24" i="25"/>
  <c r="I24" i="25"/>
  <c r="O24" i="25" s="1"/>
  <c r="H24" i="25"/>
  <c r="N24" i="25" s="1"/>
  <c r="J23" i="25"/>
  <c r="P23" i="25" s="1"/>
  <c r="I23" i="25"/>
  <c r="O23" i="25" s="1"/>
  <c r="H23" i="25"/>
  <c r="N23" i="25" s="1"/>
  <c r="J22" i="25"/>
  <c r="P22" i="25" s="1"/>
  <c r="I22" i="25"/>
  <c r="O22" i="25" s="1"/>
  <c r="H22" i="25"/>
  <c r="N22" i="25" s="1"/>
  <c r="J21" i="25"/>
  <c r="I21" i="25"/>
  <c r="O21" i="25" s="1"/>
  <c r="H21" i="25"/>
  <c r="N21" i="25" s="1"/>
  <c r="J20" i="25"/>
  <c r="I17" i="32" s="1"/>
  <c r="I20" i="25"/>
  <c r="O20" i="25" s="1"/>
  <c r="H20" i="25"/>
  <c r="N20" i="25" s="1"/>
  <c r="J19" i="25"/>
  <c r="N30" i="28" s="1"/>
  <c r="I19" i="25"/>
  <c r="O19" i="25" s="1"/>
  <c r="H19" i="25"/>
  <c r="N19" i="25" s="1"/>
  <c r="J18" i="25"/>
  <c r="I18" i="25"/>
  <c r="O18" i="25" s="1"/>
  <c r="H18" i="25"/>
  <c r="N18" i="25" s="1"/>
  <c r="J17" i="25"/>
  <c r="I17" i="25"/>
  <c r="O17" i="25" s="1"/>
  <c r="H17" i="25"/>
  <c r="N17" i="25" s="1"/>
  <c r="J16" i="25"/>
  <c r="I16" i="25"/>
  <c r="O16" i="25" s="1"/>
  <c r="H16" i="25"/>
  <c r="N16" i="25" s="1"/>
  <c r="J15" i="25"/>
  <c r="P15" i="25" s="1"/>
  <c r="I15" i="25"/>
  <c r="O15" i="25" s="1"/>
  <c r="H15" i="25"/>
  <c r="N15" i="25" s="1"/>
  <c r="J14" i="25"/>
  <c r="I14" i="25"/>
  <c r="O14" i="25" s="1"/>
  <c r="H14" i="25"/>
  <c r="N14" i="25" s="1"/>
  <c r="J13" i="25"/>
  <c r="I13" i="25"/>
  <c r="O13" i="25" s="1"/>
  <c r="H13" i="25"/>
  <c r="N13" i="25" s="1"/>
  <c r="J12" i="25"/>
  <c r="I9" i="32" s="1"/>
  <c r="I12" i="25"/>
  <c r="H12" i="25"/>
  <c r="N12" i="25" s="1"/>
  <c r="J11" i="25"/>
  <c r="P11" i="25" s="1"/>
  <c r="I11" i="25"/>
  <c r="O11" i="25" s="1"/>
  <c r="H11" i="25"/>
  <c r="J32" i="24"/>
  <c r="I32" i="24"/>
  <c r="O32" i="24" s="1"/>
  <c r="H32" i="24"/>
  <c r="N32" i="24" s="1"/>
  <c r="J31" i="24"/>
  <c r="I31" i="24"/>
  <c r="O31" i="24" s="1"/>
  <c r="H31" i="24"/>
  <c r="N31" i="24" s="1"/>
  <c r="J30" i="24"/>
  <c r="Y29" i="28" s="1"/>
  <c r="I30" i="24"/>
  <c r="O30" i="24" s="1"/>
  <c r="H30" i="24"/>
  <c r="N30" i="24" s="1"/>
  <c r="J29" i="24"/>
  <c r="P29" i="24" s="1"/>
  <c r="I29" i="24"/>
  <c r="H29" i="24"/>
  <c r="N29" i="24" s="1"/>
  <c r="J28" i="24"/>
  <c r="P28" i="24" s="1"/>
  <c r="I28" i="24"/>
  <c r="O28" i="24" s="1"/>
  <c r="H28" i="24"/>
  <c r="N28" i="24" s="1"/>
  <c r="J27" i="24"/>
  <c r="I27" i="24"/>
  <c r="O27" i="24" s="1"/>
  <c r="H27" i="24"/>
  <c r="N27" i="24" s="1"/>
  <c r="J26" i="24"/>
  <c r="P26" i="24" s="1"/>
  <c r="I26" i="24"/>
  <c r="O26" i="24" s="1"/>
  <c r="H26" i="24"/>
  <c r="N26" i="24" s="1"/>
  <c r="J25" i="24"/>
  <c r="I25" i="24"/>
  <c r="O25" i="24" s="1"/>
  <c r="H25" i="24"/>
  <c r="N25" i="24" s="1"/>
  <c r="J24" i="24"/>
  <c r="I24" i="24"/>
  <c r="O24" i="24" s="1"/>
  <c r="H24" i="24"/>
  <c r="N24" i="24" s="1"/>
  <c r="J23" i="24"/>
  <c r="H20" i="32" s="1"/>
  <c r="I23" i="24"/>
  <c r="O23" i="24" s="1"/>
  <c r="H23" i="24"/>
  <c r="N23" i="24" s="1"/>
  <c r="J22" i="24"/>
  <c r="I22" i="24"/>
  <c r="O22" i="24" s="1"/>
  <c r="H22" i="24"/>
  <c r="N22" i="24" s="1"/>
  <c r="J21" i="24"/>
  <c r="I21" i="24"/>
  <c r="O21" i="24" s="1"/>
  <c r="H21" i="24"/>
  <c r="N21" i="24" s="1"/>
  <c r="J20" i="24"/>
  <c r="P20" i="24" s="1"/>
  <c r="I20" i="24"/>
  <c r="O20" i="24" s="1"/>
  <c r="H20" i="24"/>
  <c r="N20" i="24" s="1"/>
  <c r="J19" i="24"/>
  <c r="P19" i="24" s="1"/>
  <c r="I19" i="24"/>
  <c r="O19" i="24" s="1"/>
  <c r="H19" i="24"/>
  <c r="N19" i="24" s="1"/>
  <c r="J18" i="24"/>
  <c r="P18" i="24" s="1"/>
  <c r="I18" i="24"/>
  <c r="O18" i="24" s="1"/>
  <c r="H18" i="24"/>
  <c r="N18" i="24" s="1"/>
  <c r="J17" i="24"/>
  <c r="I17" i="24"/>
  <c r="O17" i="24" s="1"/>
  <c r="H17" i="24"/>
  <c r="N17" i="24" s="1"/>
  <c r="J16" i="24"/>
  <c r="H13" i="32" s="1"/>
  <c r="I16" i="24"/>
  <c r="O16" i="24" s="1"/>
  <c r="H16" i="24"/>
  <c r="N16" i="24" s="1"/>
  <c r="J15" i="24"/>
  <c r="P15" i="24" s="1"/>
  <c r="I15" i="24"/>
  <c r="O15" i="24" s="1"/>
  <c r="H15" i="24"/>
  <c r="N15" i="24" s="1"/>
  <c r="J14" i="24"/>
  <c r="P14" i="24" s="1"/>
  <c r="I14" i="24"/>
  <c r="O14" i="24" s="1"/>
  <c r="H14" i="24"/>
  <c r="N14" i="24" s="1"/>
  <c r="J13" i="24"/>
  <c r="P13" i="24" s="1"/>
  <c r="I13" i="24"/>
  <c r="O13" i="24" s="1"/>
  <c r="H13" i="24"/>
  <c r="N13" i="24" s="1"/>
  <c r="J12" i="24"/>
  <c r="I12" i="24"/>
  <c r="O12" i="24" s="1"/>
  <c r="H12" i="24"/>
  <c r="J11" i="24"/>
  <c r="I11" i="24"/>
  <c r="O11" i="24" s="1"/>
  <c r="H11" i="24"/>
  <c r="J32" i="23"/>
  <c r="I32" i="23"/>
  <c r="O32" i="23" s="1"/>
  <c r="H32" i="23"/>
  <c r="N32" i="23" s="1"/>
  <c r="J31" i="23"/>
  <c r="I31" i="23"/>
  <c r="O31" i="23" s="1"/>
  <c r="H31" i="23"/>
  <c r="N31" i="23" s="1"/>
  <c r="J30" i="23"/>
  <c r="I30" i="23"/>
  <c r="O30" i="23" s="1"/>
  <c r="H30" i="23"/>
  <c r="N30" i="23" s="1"/>
  <c r="J29" i="23"/>
  <c r="P29" i="23" s="1"/>
  <c r="I29" i="23"/>
  <c r="O29" i="23" s="1"/>
  <c r="H29" i="23"/>
  <c r="N29" i="23" s="1"/>
  <c r="J28" i="23"/>
  <c r="I28" i="23"/>
  <c r="O28" i="23" s="1"/>
  <c r="H28" i="23"/>
  <c r="N28" i="23" s="1"/>
  <c r="J27" i="23"/>
  <c r="V28" i="28" s="1"/>
  <c r="I27" i="23"/>
  <c r="O27" i="23" s="1"/>
  <c r="H27" i="23"/>
  <c r="N27" i="23" s="1"/>
  <c r="J26" i="23"/>
  <c r="I26" i="23"/>
  <c r="O26" i="23" s="1"/>
  <c r="H26" i="23"/>
  <c r="N26" i="23" s="1"/>
  <c r="J25" i="23"/>
  <c r="P25" i="23" s="1"/>
  <c r="I25" i="23"/>
  <c r="O25" i="23" s="1"/>
  <c r="H25" i="23"/>
  <c r="N25" i="23" s="1"/>
  <c r="J24" i="23"/>
  <c r="P24" i="23" s="1"/>
  <c r="I24" i="23"/>
  <c r="O24" i="23" s="1"/>
  <c r="H24" i="23"/>
  <c r="N24" i="23" s="1"/>
  <c r="J23" i="23"/>
  <c r="P23" i="23" s="1"/>
  <c r="I23" i="23"/>
  <c r="O23" i="23" s="1"/>
  <c r="H23" i="23"/>
  <c r="N23" i="23" s="1"/>
  <c r="J22" i="23"/>
  <c r="I22" i="23"/>
  <c r="O22" i="23" s="1"/>
  <c r="H22" i="23"/>
  <c r="N22" i="23" s="1"/>
  <c r="J21" i="23"/>
  <c r="I21" i="23"/>
  <c r="O21" i="23" s="1"/>
  <c r="H21" i="23"/>
  <c r="N21" i="23" s="1"/>
  <c r="J20" i="23"/>
  <c r="O28" i="28" s="1"/>
  <c r="I20" i="23"/>
  <c r="O20" i="23" s="1"/>
  <c r="H20" i="23"/>
  <c r="N20" i="23" s="1"/>
  <c r="J19" i="23"/>
  <c r="P19" i="23" s="1"/>
  <c r="I19" i="23"/>
  <c r="O19" i="23" s="1"/>
  <c r="H19" i="23"/>
  <c r="N19" i="23" s="1"/>
  <c r="J18" i="23"/>
  <c r="P18" i="23" s="1"/>
  <c r="I18" i="23"/>
  <c r="O18" i="23" s="1"/>
  <c r="H18" i="23"/>
  <c r="N18" i="23" s="1"/>
  <c r="J17" i="23"/>
  <c r="I17" i="23"/>
  <c r="O17" i="23" s="1"/>
  <c r="H17" i="23"/>
  <c r="N17" i="23" s="1"/>
  <c r="J16" i="23"/>
  <c r="I16" i="23"/>
  <c r="O16" i="23" s="1"/>
  <c r="H16" i="23"/>
  <c r="N16" i="23" s="1"/>
  <c r="J15" i="23"/>
  <c r="I15" i="23"/>
  <c r="O15" i="23" s="1"/>
  <c r="H15" i="23"/>
  <c r="N15" i="23" s="1"/>
  <c r="J14" i="23"/>
  <c r="I14" i="23"/>
  <c r="O14" i="23" s="1"/>
  <c r="H14" i="23"/>
  <c r="N14" i="23" s="1"/>
  <c r="J13" i="23"/>
  <c r="G10" i="32" s="1"/>
  <c r="I13" i="23"/>
  <c r="O13" i="23" s="1"/>
  <c r="H13" i="23"/>
  <c r="N13" i="23" s="1"/>
  <c r="J12" i="23"/>
  <c r="I12" i="23"/>
  <c r="O12" i="23" s="1"/>
  <c r="H12" i="23"/>
  <c r="J11" i="23"/>
  <c r="P11" i="23" s="1"/>
  <c r="I11" i="23"/>
  <c r="H11" i="23"/>
  <c r="N11" i="23" s="1"/>
  <c r="J32" i="22"/>
  <c r="I32" i="22"/>
  <c r="O32" i="22" s="1"/>
  <c r="H32" i="22"/>
  <c r="N32" i="22" s="1"/>
  <c r="J31" i="22"/>
  <c r="I31" i="22"/>
  <c r="O31" i="22" s="1"/>
  <c r="H31" i="22"/>
  <c r="N31" i="22" s="1"/>
  <c r="J30" i="22"/>
  <c r="I30" i="22"/>
  <c r="O30" i="22" s="1"/>
  <c r="H30" i="22"/>
  <c r="N30" i="22" s="1"/>
  <c r="J29" i="22"/>
  <c r="P29" i="22" s="1"/>
  <c r="I29" i="22"/>
  <c r="O29" i="22" s="1"/>
  <c r="H29" i="22"/>
  <c r="N29" i="22" s="1"/>
  <c r="J28" i="22"/>
  <c r="P28" i="22" s="1"/>
  <c r="I28" i="22"/>
  <c r="O28" i="22" s="1"/>
  <c r="H28" i="22"/>
  <c r="N28" i="22" s="1"/>
  <c r="J27" i="22"/>
  <c r="P27" i="22" s="1"/>
  <c r="I27" i="22"/>
  <c r="O27" i="22" s="1"/>
  <c r="H27" i="22"/>
  <c r="N27" i="22" s="1"/>
  <c r="J26" i="22"/>
  <c r="P26" i="22" s="1"/>
  <c r="I26" i="22"/>
  <c r="O26" i="22" s="1"/>
  <c r="H26" i="22"/>
  <c r="N26" i="22" s="1"/>
  <c r="J25" i="22"/>
  <c r="I25" i="22"/>
  <c r="O25" i="22" s="1"/>
  <c r="H25" i="22"/>
  <c r="N25" i="22" s="1"/>
  <c r="J24" i="22"/>
  <c r="I24" i="22"/>
  <c r="O24" i="22" s="1"/>
  <c r="H24" i="22"/>
  <c r="N24" i="22" s="1"/>
  <c r="J23" i="22"/>
  <c r="I23" i="22"/>
  <c r="O23" i="22" s="1"/>
  <c r="H23" i="22"/>
  <c r="N23" i="22" s="1"/>
  <c r="J22" i="22"/>
  <c r="I22" i="22"/>
  <c r="O22" i="22" s="1"/>
  <c r="H22" i="22"/>
  <c r="N22" i="22" s="1"/>
  <c r="J21" i="22"/>
  <c r="P21" i="22" s="1"/>
  <c r="I21" i="22"/>
  <c r="O21" i="22" s="1"/>
  <c r="H21" i="22"/>
  <c r="N21" i="22" s="1"/>
  <c r="J20" i="22"/>
  <c r="P20" i="22" s="1"/>
  <c r="I20" i="22"/>
  <c r="O20" i="22" s="1"/>
  <c r="H20" i="22"/>
  <c r="N20" i="22" s="1"/>
  <c r="J19" i="22"/>
  <c r="P19" i="22" s="1"/>
  <c r="I19" i="22"/>
  <c r="O19" i="22" s="1"/>
  <c r="H19" i="22"/>
  <c r="N19" i="22" s="1"/>
  <c r="J18" i="22"/>
  <c r="I18" i="22"/>
  <c r="O18" i="22" s="1"/>
  <c r="H18" i="22"/>
  <c r="N18" i="22" s="1"/>
  <c r="J17" i="22"/>
  <c r="I17" i="22"/>
  <c r="O17" i="22" s="1"/>
  <c r="H17" i="22"/>
  <c r="N17" i="22" s="1"/>
  <c r="J16" i="22"/>
  <c r="I16" i="22"/>
  <c r="O16" i="22" s="1"/>
  <c r="H16" i="22"/>
  <c r="N16" i="22" s="1"/>
  <c r="J15" i="22"/>
  <c r="P15" i="22" s="1"/>
  <c r="I15" i="22"/>
  <c r="O15" i="22" s="1"/>
  <c r="H15" i="22"/>
  <c r="N15" i="22" s="1"/>
  <c r="J14" i="22"/>
  <c r="P14" i="22" s="1"/>
  <c r="I14" i="22"/>
  <c r="O14" i="22" s="1"/>
  <c r="H14" i="22"/>
  <c r="N14" i="22" s="1"/>
  <c r="J13" i="22"/>
  <c r="P13" i="22" s="1"/>
  <c r="I13" i="22"/>
  <c r="O13" i="22" s="1"/>
  <c r="H13" i="22"/>
  <c r="N13" i="22" s="1"/>
  <c r="J12" i="22"/>
  <c r="P12" i="22" s="1"/>
  <c r="I12" i="22"/>
  <c r="O12" i="22" s="1"/>
  <c r="H12" i="22"/>
  <c r="N12" i="22" s="1"/>
  <c r="J11" i="22"/>
  <c r="I11" i="22"/>
  <c r="O11" i="22" s="1"/>
  <c r="H11" i="22"/>
  <c r="N11" i="22" s="1"/>
  <c r="J32" i="21"/>
  <c r="P32" i="21" s="1"/>
  <c r="I32" i="21"/>
  <c r="O32" i="21" s="1"/>
  <c r="H32" i="21"/>
  <c r="N32" i="21" s="1"/>
  <c r="J31" i="21"/>
  <c r="P31" i="21" s="1"/>
  <c r="I31" i="21"/>
  <c r="O31" i="21" s="1"/>
  <c r="H31" i="21"/>
  <c r="N31" i="21" s="1"/>
  <c r="J30" i="21"/>
  <c r="P30" i="21" s="1"/>
  <c r="I30" i="21"/>
  <c r="O30" i="21" s="1"/>
  <c r="H30" i="21"/>
  <c r="N30" i="21" s="1"/>
  <c r="J29" i="21"/>
  <c r="I29" i="21"/>
  <c r="O29" i="21" s="1"/>
  <c r="H29" i="21"/>
  <c r="N29" i="21" s="1"/>
  <c r="J28" i="21"/>
  <c r="I28" i="21"/>
  <c r="O28" i="21" s="1"/>
  <c r="H28" i="21"/>
  <c r="N28" i="21" s="1"/>
  <c r="J27" i="21"/>
  <c r="I27" i="21"/>
  <c r="O27" i="21" s="1"/>
  <c r="H27" i="21"/>
  <c r="N27" i="21" s="1"/>
  <c r="J26" i="21"/>
  <c r="I26" i="21"/>
  <c r="O26" i="21" s="1"/>
  <c r="H26" i="21"/>
  <c r="N26" i="21" s="1"/>
  <c r="J25" i="21"/>
  <c r="P25" i="21" s="1"/>
  <c r="I25" i="21"/>
  <c r="O25" i="21" s="1"/>
  <c r="H25" i="21"/>
  <c r="N25" i="21" s="1"/>
  <c r="J24" i="21"/>
  <c r="P24" i="21" s="1"/>
  <c r="I24" i="21"/>
  <c r="O24" i="21" s="1"/>
  <c r="H24" i="21"/>
  <c r="N24" i="21" s="1"/>
  <c r="J23" i="21"/>
  <c r="P23" i="21" s="1"/>
  <c r="I23" i="21"/>
  <c r="O23" i="21" s="1"/>
  <c r="H23" i="21"/>
  <c r="N23" i="21" s="1"/>
  <c r="J22" i="21"/>
  <c r="I22" i="21"/>
  <c r="O22" i="21" s="1"/>
  <c r="H22" i="21"/>
  <c r="N22" i="21" s="1"/>
  <c r="J21" i="21"/>
  <c r="I21" i="21"/>
  <c r="O21" i="21" s="1"/>
  <c r="H21" i="21"/>
  <c r="N21" i="21" s="1"/>
  <c r="J20" i="21"/>
  <c r="I20" i="21"/>
  <c r="O20" i="21" s="1"/>
  <c r="H20" i="21"/>
  <c r="N20" i="21" s="1"/>
  <c r="J19" i="21"/>
  <c r="P19" i="21" s="1"/>
  <c r="I19" i="21"/>
  <c r="O19" i="21" s="1"/>
  <c r="H19" i="21"/>
  <c r="N19" i="21" s="1"/>
  <c r="J18" i="21"/>
  <c r="P18" i="21" s="1"/>
  <c r="I18" i="21"/>
  <c r="O18" i="21" s="1"/>
  <c r="H18" i="21"/>
  <c r="N18" i="21" s="1"/>
  <c r="J17" i="21"/>
  <c r="P17" i="21" s="1"/>
  <c r="I17" i="21"/>
  <c r="O17" i="21" s="1"/>
  <c r="H17" i="21"/>
  <c r="N17" i="21" s="1"/>
  <c r="J16" i="21"/>
  <c r="P16" i="21" s="1"/>
  <c r="I16" i="21"/>
  <c r="O16" i="21" s="1"/>
  <c r="H16" i="21"/>
  <c r="N16" i="21" s="1"/>
  <c r="J15" i="21"/>
  <c r="I15" i="21"/>
  <c r="O15" i="21" s="1"/>
  <c r="H15" i="21"/>
  <c r="N15" i="21" s="1"/>
  <c r="J14" i="21"/>
  <c r="I14" i="21"/>
  <c r="O14" i="21" s="1"/>
  <c r="H14" i="21"/>
  <c r="N14" i="21" s="1"/>
  <c r="J13" i="21"/>
  <c r="I13" i="21"/>
  <c r="O13" i="21" s="1"/>
  <c r="H13" i="21"/>
  <c r="N13" i="21" s="1"/>
  <c r="J12" i="21"/>
  <c r="P12" i="21" s="1"/>
  <c r="I12" i="21"/>
  <c r="H12" i="21"/>
  <c r="N12" i="21" s="1"/>
  <c r="J11" i="21"/>
  <c r="P11" i="21" s="1"/>
  <c r="I11" i="21"/>
  <c r="O11" i="21" s="1"/>
  <c r="H11" i="21"/>
  <c r="J32" i="20"/>
  <c r="I32" i="20"/>
  <c r="O32" i="20" s="1"/>
  <c r="H32" i="20"/>
  <c r="N32" i="20" s="1"/>
  <c r="J31" i="20"/>
  <c r="I31" i="20"/>
  <c r="O31" i="20" s="1"/>
  <c r="H31" i="20"/>
  <c r="N31" i="20" s="1"/>
  <c r="J30" i="20"/>
  <c r="P30" i="20" s="1"/>
  <c r="I30" i="20"/>
  <c r="O30" i="20" s="1"/>
  <c r="H30" i="20"/>
  <c r="N30" i="20" s="1"/>
  <c r="J29" i="20"/>
  <c r="P29" i="20" s="1"/>
  <c r="I29" i="20"/>
  <c r="O29" i="20" s="1"/>
  <c r="H29" i="20"/>
  <c r="N29" i="20" s="1"/>
  <c r="J28" i="20"/>
  <c r="I28" i="20"/>
  <c r="O28" i="20" s="1"/>
  <c r="H28" i="20"/>
  <c r="N28" i="20" s="1"/>
  <c r="J27" i="20"/>
  <c r="P27" i="20" s="1"/>
  <c r="I27" i="20"/>
  <c r="O27" i="20" s="1"/>
  <c r="H27" i="20"/>
  <c r="N27" i="20" s="1"/>
  <c r="J26" i="20"/>
  <c r="I26" i="20"/>
  <c r="O26" i="20" s="1"/>
  <c r="H26" i="20"/>
  <c r="N26" i="20" s="1"/>
  <c r="J25" i="20"/>
  <c r="P25" i="20" s="1"/>
  <c r="I25" i="20"/>
  <c r="O25" i="20" s="1"/>
  <c r="H25" i="20"/>
  <c r="N25" i="20" s="1"/>
  <c r="J24" i="20"/>
  <c r="I24" i="20"/>
  <c r="O24" i="20" s="1"/>
  <c r="H24" i="20"/>
  <c r="N24" i="20" s="1"/>
  <c r="J23" i="20"/>
  <c r="I23" i="20"/>
  <c r="O23" i="20" s="1"/>
  <c r="H23" i="20"/>
  <c r="N23" i="20" s="1"/>
  <c r="J22" i="20"/>
  <c r="P22" i="20" s="1"/>
  <c r="I22" i="20"/>
  <c r="O22" i="20" s="1"/>
  <c r="H22" i="20"/>
  <c r="N22" i="20" s="1"/>
  <c r="J21" i="20"/>
  <c r="P21" i="20" s="1"/>
  <c r="I21" i="20"/>
  <c r="O21" i="20" s="1"/>
  <c r="H21" i="20"/>
  <c r="N21" i="20" s="1"/>
  <c r="J20" i="20"/>
  <c r="P20" i="20" s="1"/>
  <c r="I20" i="20"/>
  <c r="O20" i="20" s="1"/>
  <c r="H20" i="20"/>
  <c r="N20" i="20" s="1"/>
  <c r="J19" i="20"/>
  <c r="I19" i="20"/>
  <c r="O19" i="20" s="1"/>
  <c r="H19" i="20"/>
  <c r="N19" i="20" s="1"/>
  <c r="J18" i="20"/>
  <c r="I18" i="20"/>
  <c r="O18" i="20" s="1"/>
  <c r="H18" i="20"/>
  <c r="N18" i="20" s="1"/>
  <c r="J17" i="20"/>
  <c r="I17" i="20"/>
  <c r="O17" i="20" s="1"/>
  <c r="H17" i="20"/>
  <c r="N17" i="20" s="1"/>
  <c r="J16" i="20"/>
  <c r="P16" i="20" s="1"/>
  <c r="I16" i="20"/>
  <c r="O16" i="20" s="1"/>
  <c r="H16" i="20"/>
  <c r="N16" i="20" s="1"/>
  <c r="J15" i="20"/>
  <c r="P15" i="20" s="1"/>
  <c r="I15" i="20"/>
  <c r="O15" i="20" s="1"/>
  <c r="H15" i="20"/>
  <c r="N15" i="20" s="1"/>
  <c r="J14" i="20"/>
  <c r="P14" i="20" s="1"/>
  <c r="I14" i="20"/>
  <c r="O14" i="20" s="1"/>
  <c r="H14" i="20"/>
  <c r="N14" i="20" s="1"/>
  <c r="J13" i="20"/>
  <c r="P13" i="20" s="1"/>
  <c r="I13" i="20"/>
  <c r="O13" i="20" s="1"/>
  <c r="H13" i="20"/>
  <c r="N13" i="20" s="1"/>
  <c r="J12" i="20"/>
  <c r="I12" i="20"/>
  <c r="O12" i="20" s="1"/>
  <c r="H12" i="20"/>
  <c r="N12" i="20" s="1"/>
  <c r="J11" i="20"/>
  <c r="P11" i="20" s="1"/>
  <c r="I11" i="20"/>
  <c r="O11" i="20" s="1"/>
  <c r="H11" i="20"/>
  <c r="N11" i="20" s="1"/>
  <c r="J32" i="19"/>
  <c r="P32" i="19" s="1"/>
  <c r="I32" i="19"/>
  <c r="O32" i="19" s="1"/>
  <c r="H32" i="19"/>
  <c r="N32" i="19" s="1"/>
  <c r="J31" i="19"/>
  <c r="P31" i="19" s="1"/>
  <c r="I31" i="19"/>
  <c r="O31" i="19" s="1"/>
  <c r="H31" i="19"/>
  <c r="N31" i="19" s="1"/>
  <c r="J30" i="19"/>
  <c r="I30" i="19"/>
  <c r="O30" i="19" s="1"/>
  <c r="H30" i="19"/>
  <c r="N30" i="19" s="1"/>
  <c r="J29" i="19"/>
  <c r="P29" i="19" s="1"/>
  <c r="I29" i="19"/>
  <c r="O29" i="19" s="1"/>
  <c r="H29" i="19"/>
  <c r="N29" i="19" s="1"/>
  <c r="J28" i="19"/>
  <c r="I28" i="19"/>
  <c r="O28" i="19" s="1"/>
  <c r="H28" i="19"/>
  <c r="N28" i="19" s="1"/>
  <c r="J27" i="19"/>
  <c r="I27" i="19"/>
  <c r="O27" i="19" s="1"/>
  <c r="H27" i="19"/>
  <c r="N27" i="19" s="1"/>
  <c r="J26" i="19"/>
  <c r="P26" i="19" s="1"/>
  <c r="I26" i="19"/>
  <c r="O26" i="19" s="1"/>
  <c r="H26" i="19"/>
  <c r="N26" i="19" s="1"/>
  <c r="J25" i="19"/>
  <c r="P25" i="19" s="1"/>
  <c r="I25" i="19"/>
  <c r="O25" i="19" s="1"/>
  <c r="H25" i="19"/>
  <c r="N25" i="19" s="1"/>
  <c r="J24" i="19"/>
  <c r="P24" i="19" s="1"/>
  <c r="I24" i="19"/>
  <c r="O24" i="19" s="1"/>
  <c r="H24" i="19"/>
  <c r="N24" i="19" s="1"/>
  <c r="J23" i="19"/>
  <c r="P23" i="19" s="1"/>
  <c r="I23" i="19"/>
  <c r="O23" i="19" s="1"/>
  <c r="H23" i="19"/>
  <c r="N23" i="19" s="1"/>
  <c r="J22" i="19"/>
  <c r="I22" i="19"/>
  <c r="O22" i="19" s="1"/>
  <c r="H22" i="19"/>
  <c r="N22" i="19" s="1"/>
  <c r="J21" i="19"/>
  <c r="I21" i="19"/>
  <c r="O21" i="19" s="1"/>
  <c r="H21" i="19"/>
  <c r="N21" i="19" s="1"/>
  <c r="J20" i="19"/>
  <c r="P20" i="19" s="1"/>
  <c r="I20" i="19"/>
  <c r="O20" i="19" s="1"/>
  <c r="H20" i="19"/>
  <c r="N20" i="19" s="1"/>
  <c r="J19" i="19"/>
  <c r="P19" i="19" s="1"/>
  <c r="I19" i="19"/>
  <c r="O19" i="19" s="1"/>
  <c r="H19" i="19"/>
  <c r="N19" i="19" s="1"/>
  <c r="J18" i="19"/>
  <c r="P18" i="19" s="1"/>
  <c r="I18" i="19"/>
  <c r="O18" i="19" s="1"/>
  <c r="H18" i="19"/>
  <c r="N18" i="19" s="1"/>
  <c r="J17" i="19"/>
  <c r="P17" i="19" s="1"/>
  <c r="I17" i="19"/>
  <c r="O17" i="19" s="1"/>
  <c r="H17" i="19"/>
  <c r="N17" i="19" s="1"/>
  <c r="J16" i="19"/>
  <c r="I16" i="19"/>
  <c r="O16" i="19" s="1"/>
  <c r="H16" i="19"/>
  <c r="N16" i="19" s="1"/>
  <c r="J15" i="19"/>
  <c r="P15" i="19" s="1"/>
  <c r="I15" i="19"/>
  <c r="O15" i="19" s="1"/>
  <c r="H15" i="19"/>
  <c r="N15" i="19" s="1"/>
  <c r="J14" i="19"/>
  <c r="I14" i="19"/>
  <c r="O14" i="19" s="1"/>
  <c r="H14" i="19"/>
  <c r="N14" i="19" s="1"/>
  <c r="J13" i="19"/>
  <c r="P13" i="19" s="1"/>
  <c r="I13" i="19"/>
  <c r="O13" i="19" s="1"/>
  <c r="H13" i="19"/>
  <c r="N13" i="19" s="1"/>
  <c r="J12" i="19"/>
  <c r="P12" i="19" s="1"/>
  <c r="I12" i="19"/>
  <c r="O12" i="19" s="1"/>
  <c r="H12" i="19"/>
  <c r="N12" i="19" s="1"/>
  <c r="J11" i="19"/>
  <c r="P11" i="19" s="1"/>
  <c r="I11" i="19"/>
  <c r="H11" i="19"/>
  <c r="N11" i="19" s="1"/>
  <c r="J32" i="18"/>
  <c r="I32" i="18"/>
  <c r="O32" i="18" s="1"/>
  <c r="H32" i="18"/>
  <c r="N32" i="18" s="1"/>
  <c r="J31" i="18"/>
  <c r="P31" i="18" s="1"/>
  <c r="I31" i="18"/>
  <c r="O31" i="18" s="1"/>
  <c r="H31" i="18"/>
  <c r="N31" i="18" s="1"/>
  <c r="J30" i="18"/>
  <c r="P30" i="18" s="1"/>
  <c r="I30" i="18"/>
  <c r="O30" i="18" s="1"/>
  <c r="H30" i="18"/>
  <c r="N30" i="18" s="1"/>
  <c r="J29" i="18"/>
  <c r="I29" i="18"/>
  <c r="O29" i="18" s="1"/>
  <c r="H29" i="18"/>
  <c r="N29" i="18" s="1"/>
  <c r="J28" i="18"/>
  <c r="P28" i="18" s="1"/>
  <c r="I28" i="18"/>
  <c r="O28" i="18" s="1"/>
  <c r="H28" i="18"/>
  <c r="N28" i="18" s="1"/>
  <c r="J27" i="18"/>
  <c r="P27" i="18" s="1"/>
  <c r="I27" i="18"/>
  <c r="O27" i="18" s="1"/>
  <c r="H27" i="18"/>
  <c r="N27" i="18" s="1"/>
  <c r="J26" i="18"/>
  <c r="P26" i="18" s="1"/>
  <c r="I26" i="18"/>
  <c r="O26" i="18" s="1"/>
  <c r="H26" i="18"/>
  <c r="N26" i="18" s="1"/>
  <c r="J25" i="18"/>
  <c r="P25" i="18" s="1"/>
  <c r="I25" i="18"/>
  <c r="O25" i="18" s="1"/>
  <c r="H25" i="18"/>
  <c r="N25" i="18" s="1"/>
  <c r="J24" i="18"/>
  <c r="I24" i="18"/>
  <c r="O24" i="18" s="1"/>
  <c r="H24" i="18"/>
  <c r="N24" i="18" s="1"/>
  <c r="J23" i="18"/>
  <c r="P23" i="18" s="1"/>
  <c r="I23" i="18"/>
  <c r="O23" i="18" s="1"/>
  <c r="H23" i="18"/>
  <c r="N23" i="18" s="1"/>
  <c r="J22" i="18"/>
  <c r="P22" i="18" s="1"/>
  <c r="I22" i="18"/>
  <c r="O22" i="18" s="1"/>
  <c r="H22" i="18"/>
  <c r="N22" i="18" s="1"/>
  <c r="J21" i="18"/>
  <c r="P21" i="18" s="1"/>
  <c r="I21" i="18"/>
  <c r="O21" i="18" s="1"/>
  <c r="H21" i="18"/>
  <c r="N21" i="18" s="1"/>
  <c r="J20" i="18"/>
  <c r="P20" i="18" s="1"/>
  <c r="I20" i="18"/>
  <c r="O20" i="18" s="1"/>
  <c r="H20" i="18"/>
  <c r="N20" i="18" s="1"/>
  <c r="J19" i="18"/>
  <c r="I19" i="18"/>
  <c r="O19" i="18" s="1"/>
  <c r="H19" i="18"/>
  <c r="N19" i="18" s="1"/>
  <c r="J18" i="18"/>
  <c r="P18" i="18" s="1"/>
  <c r="I18" i="18"/>
  <c r="O18" i="18" s="1"/>
  <c r="H18" i="18"/>
  <c r="N18" i="18" s="1"/>
  <c r="J17" i="18"/>
  <c r="P17" i="18" s="1"/>
  <c r="I17" i="18"/>
  <c r="O17" i="18" s="1"/>
  <c r="H17" i="18"/>
  <c r="N17" i="18" s="1"/>
  <c r="J16" i="18"/>
  <c r="P16" i="18" s="1"/>
  <c r="I16" i="18"/>
  <c r="O16" i="18" s="1"/>
  <c r="H16" i="18"/>
  <c r="N16" i="18" s="1"/>
  <c r="J15" i="18"/>
  <c r="P15" i="18" s="1"/>
  <c r="I15" i="18"/>
  <c r="O15" i="18" s="1"/>
  <c r="H15" i="18"/>
  <c r="N15" i="18" s="1"/>
  <c r="J14" i="18"/>
  <c r="P14" i="18" s="1"/>
  <c r="I14" i="18"/>
  <c r="O14" i="18" s="1"/>
  <c r="H14" i="18"/>
  <c r="N14" i="18" s="1"/>
  <c r="J13" i="18"/>
  <c r="I13" i="18"/>
  <c r="O13" i="18" s="1"/>
  <c r="H13" i="18"/>
  <c r="N13" i="18" s="1"/>
  <c r="J12" i="18"/>
  <c r="I12" i="18"/>
  <c r="O12" i="18" s="1"/>
  <c r="H12" i="18"/>
  <c r="N12" i="18" s="1"/>
  <c r="J11" i="18"/>
  <c r="I11" i="18"/>
  <c r="H11" i="18"/>
  <c r="J32" i="17"/>
  <c r="P32" i="17" s="1"/>
  <c r="I32" i="17"/>
  <c r="O32" i="17" s="1"/>
  <c r="H32" i="17"/>
  <c r="N32" i="17" s="1"/>
  <c r="J31" i="17"/>
  <c r="I31" i="17"/>
  <c r="O31" i="17" s="1"/>
  <c r="H31" i="17"/>
  <c r="N31" i="17" s="1"/>
  <c r="J30" i="17"/>
  <c r="P30" i="17" s="1"/>
  <c r="I30" i="17"/>
  <c r="O30" i="17" s="1"/>
  <c r="H30" i="17"/>
  <c r="N30" i="17" s="1"/>
  <c r="J29" i="17"/>
  <c r="P29" i="17" s="1"/>
  <c r="I29" i="17"/>
  <c r="O29" i="17" s="1"/>
  <c r="H29" i="17"/>
  <c r="N29" i="17" s="1"/>
  <c r="J28" i="17"/>
  <c r="I28" i="17"/>
  <c r="O28" i="17" s="1"/>
  <c r="H28" i="17"/>
  <c r="N28" i="17" s="1"/>
  <c r="J27" i="17"/>
  <c r="P27" i="17" s="1"/>
  <c r="I27" i="17"/>
  <c r="O27" i="17" s="1"/>
  <c r="H27" i="17"/>
  <c r="N27" i="17" s="1"/>
  <c r="J26" i="17"/>
  <c r="P26" i="17" s="1"/>
  <c r="I26" i="17"/>
  <c r="O26" i="17" s="1"/>
  <c r="H26" i="17"/>
  <c r="N26" i="17" s="1"/>
  <c r="J25" i="17"/>
  <c r="P25" i="17" s="1"/>
  <c r="I25" i="17"/>
  <c r="O25" i="17" s="1"/>
  <c r="H25" i="17"/>
  <c r="N25" i="17" s="1"/>
  <c r="J24" i="17"/>
  <c r="P24" i="17" s="1"/>
  <c r="I24" i="17"/>
  <c r="O24" i="17" s="1"/>
  <c r="H24" i="17"/>
  <c r="N24" i="17" s="1"/>
  <c r="J23" i="17"/>
  <c r="P23" i="17" s="1"/>
  <c r="I23" i="17"/>
  <c r="O23" i="17" s="1"/>
  <c r="H23" i="17"/>
  <c r="N23" i="17" s="1"/>
  <c r="J22" i="17"/>
  <c r="P22" i="17" s="1"/>
  <c r="I22" i="17"/>
  <c r="O22" i="17" s="1"/>
  <c r="H22" i="17"/>
  <c r="N22" i="17" s="1"/>
  <c r="J21" i="17"/>
  <c r="P21" i="17" s="1"/>
  <c r="I21" i="17"/>
  <c r="O21" i="17" s="1"/>
  <c r="H21" i="17"/>
  <c r="N21" i="17" s="1"/>
  <c r="J20" i="17"/>
  <c r="P20" i="17" s="1"/>
  <c r="I20" i="17"/>
  <c r="O20" i="17" s="1"/>
  <c r="H20" i="17"/>
  <c r="N20" i="17" s="1"/>
  <c r="J19" i="17"/>
  <c r="P19" i="17" s="1"/>
  <c r="I19" i="17"/>
  <c r="O19" i="17" s="1"/>
  <c r="H19" i="17"/>
  <c r="N19" i="17" s="1"/>
  <c r="J18" i="17"/>
  <c r="P18" i="17" s="1"/>
  <c r="I18" i="17"/>
  <c r="O18" i="17" s="1"/>
  <c r="H18" i="17"/>
  <c r="N18" i="17" s="1"/>
  <c r="J17" i="17"/>
  <c r="P17" i="17" s="1"/>
  <c r="I17" i="17"/>
  <c r="O17" i="17" s="1"/>
  <c r="H17" i="17"/>
  <c r="N17" i="17" s="1"/>
  <c r="J16" i="17"/>
  <c r="P16" i="17" s="1"/>
  <c r="I16" i="17"/>
  <c r="O16" i="17" s="1"/>
  <c r="H16" i="17"/>
  <c r="N16" i="17" s="1"/>
  <c r="J15" i="17"/>
  <c r="I15" i="17"/>
  <c r="O15" i="17" s="1"/>
  <c r="H15" i="17"/>
  <c r="N15" i="17" s="1"/>
  <c r="J14" i="17"/>
  <c r="P14" i="17" s="1"/>
  <c r="I14" i="17"/>
  <c r="O14" i="17" s="1"/>
  <c r="H14" i="17"/>
  <c r="N14" i="17" s="1"/>
  <c r="J13" i="17"/>
  <c r="P13" i="17" s="1"/>
  <c r="I13" i="17"/>
  <c r="O13" i="17" s="1"/>
  <c r="H13" i="17"/>
  <c r="N13" i="17" s="1"/>
  <c r="J12" i="17"/>
  <c r="I12" i="17"/>
  <c r="O12" i="17" s="1"/>
  <c r="H12" i="17"/>
  <c r="N12" i="17" s="1"/>
  <c r="J11" i="17"/>
  <c r="P11" i="17" s="1"/>
  <c r="I11" i="17"/>
  <c r="O11" i="17" s="1"/>
  <c r="H11" i="17"/>
  <c r="N11" i="17" s="1"/>
  <c r="J32" i="16"/>
  <c r="I32" i="16"/>
  <c r="O32" i="16" s="1"/>
  <c r="H32" i="16"/>
  <c r="N32" i="16" s="1"/>
  <c r="J31" i="16"/>
  <c r="P31" i="16" s="1"/>
  <c r="I31" i="16"/>
  <c r="O31" i="16" s="1"/>
  <c r="H31" i="16"/>
  <c r="N31" i="16" s="1"/>
  <c r="J30" i="16"/>
  <c r="I30" i="16"/>
  <c r="O30" i="16" s="1"/>
  <c r="H30" i="16"/>
  <c r="N30" i="16" s="1"/>
  <c r="J29" i="16"/>
  <c r="P29" i="16" s="1"/>
  <c r="I29" i="16"/>
  <c r="O29" i="16" s="1"/>
  <c r="H29" i="16"/>
  <c r="N29" i="16" s="1"/>
  <c r="J28" i="16"/>
  <c r="I28" i="16"/>
  <c r="O28" i="16" s="1"/>
  <c r="H28" i="16"/>
  <c r="N28" i="16" s="1"/>
  <c r="J27" i="16"/>
  <c r="I27" i="16"/>
  <c r="O27" i="16" s="1"/>
  <c r="H27" i="16"/>
  <c r="N27" i="16" s="1"/>
  <c r="J26" i="16"/>
  <c r="P26" i="16" s="1"/>
  <c r="I26" i="16"/>
  <c r="O26" i="16" s="1"/>
  <c r="H26" i="16"/>
  <c r="N26" i="16" s="1"/>
  <c r="J25" i="16"/>
  <c r="P25" i="16" s="1"/>
  <c r="I25" i="16"/>
  <c r="O25" i="16" s="1"/>
  <c r="H25" i="16"/>
  <c r="N25" i="16" s="1"/>
  <c r="J24" i="16"/>
  <c r="P24" i="16" s="1"/>
  <c r="I24" i="16"/>
  <c r="O24" i="16" s="1"/>
  <c r="H24" i="16"/>
  <c r="N24" i="16" s="1"/>
  <c r="J23" i="16"/>
  <c r="I23" i="16"/>
  <c r="O23" i="16" s="1"/>
  <c r="H23" i="16"/>
  <c r="N23" i="16" s="1"/>
  <c r="J22" i="16"/>
  <c r="P22" i="16" s="1"/>
  <c r="I22" i="16"/>
  <c r="O22" i="16" s="1"/>
  <c r="H22" i="16"/>
  <c r="N22" i="16" s="1"/>
  <c r="J21" i="16"/>
  <c r="P21" i="16" s="1"/>
  <c r="I21" i="16"/>
  <c r="O21" i="16" s="1"/>
  <c r="H21" i="16"/>
  <c r="N21" i="16" s="1"/>
  <c r="J20" i="16"/>
  <c r="P20" i="16" s="1"/>
  <c r="I20" i="16"/>
  <c r="O20" i="16" s="1"/>
  <c r="H20" i="16"/>
  <c r="N20" i="16" s="1"/>
  <c r="J19" i="16"/>
  <c r="I19" i="16"/>
  <c r="O19" i="16" s="1"/>
  <c r="H19" i="16"/>
  <c r="N19" i="16" s="1"/>
  <c r="J18" i="16"/>
  <c r="I18" i="16"/>
  <c r="O18" i="16" s="1"/>
  <c r="H18" i="16"/>
  <c r="N18" i="16" s="1"/>
  <c r="J17" i="16"/>
  <c r="P17" i="16" s="1"/>
  <c r="I17" i="16"/>
  <c r="O17" i="16" s="1"/>
  <c r="H17" i="16"/>
  <c r="N17" i="16" s="1"/>
  <c r="J16" i="16"/>
  <c r="P16" i="16" s="1"/>
  <c r="I16" i="16"/>
  <c r="O16" i="16" s="1"/>
  <c r="H16" i="16"/>
  <c r="N16" i="16" s="1"/>
  <c r="J15" i="16"/>
  <c r="P15" i="16" s="1"/>
  <c r="I15" i="16"/>
  <c r="O15" i="16" s="1"/>
  <c r="H15" i="16"/>
  <c r="N15" i="16" s="1"/>
  <c r="J14" i="16"/>
  <c r="P14" i="16" s="1"/>
  <c r="I14" i="16"/>
  <c r="O14" i="16" s="1"/>
  <c r="H14" i="16"/>
  <c r="N14" i="16" s="1"/>
  <c r="J13" i="16"/>
  <c r="I13" i="16"/>
  <c r="O13" i="16" s="1"/>
  <c r="H13" i="16"/>
  <c r="N13" i="16" s="1"/>
  <c r="J12" i="16"/>
  <c r="P12" i="16" s="1"/>
  <c r="I12" i="16"/>
  <c r="O12" i="16" s="1"/>
  <c r="H12" i="16"/>
  <c r="N12" i="16" s="1"/>
  <c r="J11" i="16"/>
  <c r="P11" i="16" s="1"/>
  <c r="I11" i="16"/>
  <c r="O11" i="16" s="1"/>
  <c r="H11" i="16"/>
  <c r="J32" i="15"/>
  <c r="P32" i="15" s="1"/>
  <c r="I32" i="15"/>
  <c r="O32" i="15" s="1"/>
  <c r="H32" i="15"/>
  <c r="N32" i="15" s="1"/>
  <c r="J31" i="15"/>
  <c r="P31" i="15" s="1"/>
  <c r="I31" i="15"/>
  <c r="O31" i="15" s="1"/>
  <c r="H31" i="15"/>
  <c r="N31" i="15" s="1"/>
  <c r="J30" i="15"/>
  <c r="I30" i="15"/>
  <c r="O30" i="15" s="1"/>
  <c r="H30" i="15"/>
  <c r="N30" i="15" s="1"/>
  <c r="J29" i="15"/>
  <c r="P29" i="15" s="1"/>
  <c r="I29" i="15"/>
  <c r="O29" i="15" s="1"/>
  <c r="H29" i="15"/>
  <c r="N29" i="15" s="1"/>
  <c r="J28" i="15"/>
  <c r="P28" i="15" s="1"/>
  <c r="I28" i="15"/>
  <c r="O28" i="15" s="1"/>
  <c r="H28" i="15"/>
  <c r="N28" i="15" s="1"/>
  <c r="J27" i="15"/>
  <c r="P27" i="15" s="1"/>
  <c r="I27" i="15"/>
  <c r="O27" i="15" s="1"/>
  <c r="H27" i="15"/>
  <c r="N27" i="15" s="1"/>
  <c r="J26" i="15"/>
  <c r="P26" i="15" s="1"/>
  <c r="I26" i="15"/>
  <c r="O26" i="15" s="1"/>
  <c r="H26" i="15"/>
  <c r="N26" i="15" s="1"/>
  <c r="J25" i="15"/>
  <c r="P25" i="15" s="1"/>
  <c r="I25" i="15"/>
  <c r="O25" i="15" s="1"/>
  <c r="H25" i="15"/>
  <c r="N25" i="15" s="1"/>
  <c r="J24" i="15"/>
  <c r="P24" i="15" s="1"/>
  <c r="I24" i="15"/>
  <c r="O24" i="15" s="1"/>
  <c r="H24" i="15"/>
  <c r="N24" i="15" s="1"/>
  <c r="J23" i="15"/>
  <c r="I23" i="15"/>
  <c r="O23" i="15" s="1"/>
  <c r="H23" i="15"/>
  <c r="N23" i="15" s="1"/>
  <c r="J22" i="15"/>
  <c r="P22" i="15" s="1"/>
  <c r="I22" i="15"/>
  <c r="O22" i="15" s="1"/>
  <c r="H22" i="15"/>
  <c r="N22" i="15" s="1"/>
  <c r="J21" i="15"/>
  <c r="P21" i="15" s="1"/>
  <c r="I21" i="15"/>
  <c r="O21" i="15" s="1"/>
  <c r="H21" i="15"/>
  <c r="N21" i="15" s="1"/>
  <c r="J20" i="15"/>
  <c r="I20" i="15"/>
  <c r="O20" i="15" s="1"/>
  <c r="H20" i="15"/>
  <c r="N20" i="15" s="1"/>
  <c r="J19" i="15"/>
  <c r="P19" i="15" s="1"/>
  <c r="I19" i="15"/>
  <c r="O19" i="15" s="1"/>
  <c r="H19" i="15"/>
  <c r="N19" i="15" s="1"/>
  <c r="J18" i="15"/>
  <c r="I18" i="15"/>
  <c r="O18" i="15" s="1"/>
  <c r="H18" i="15"/>
  <c r="N18" i="15" s="1"/>
  <c r="J17" i="15"/>
  <c r="P17" i="15" s="1"/>
  <c r="I17" i="15"/>
  <c r="O17" i="15" s="1"/>
  <c r="H17" i="15"/>
  <c r="N17" i="15" s="1"/>
  <c r="J16" i="15"/>
  <c r="I16" i="15"/>
  <c r="O16" i="15" s="1"/>
  <c r="H16" i="15"/>
  <c r="N16" i="15" s="1"/>
  <c r="J15" i="15"/>
  <c r="P15" i="15" s="1"/>
  <c r="I15" i="15"/>
  <c r="O15" i="15" s="1"/>
  <c r="H15" i="15"/>
  <c r="N15" i="15" s="1"/>
  <c r="J14" i="15"/>
  <c r="P14" i="15" s="1"/>
  <c r="I14" i="15"/>
  <c r="O14" i="15" s="1"/>
  <c r="H14" i="15"/>
  <c r="N14" i="15" s="1"/>
  <c r="J13" i="15"/>
  <c r="I13" i="15"/>
  <c r="O13" i="15" s="1"/>
  <c r="H13" i="15"/>
  <c r="N13" i="15" s="1"/>
  <c r="J12" i="15"/>
  <c r="P12" i="15" s="1"/>
  <c r="I12" i="15"/>
  <c r="O12" i="15" s="1"/>
  <c r="H12" i="15"/>
  <c r="N12" i="15" s="1"/>
  <c r="J11" i="15"/>
  <c r="P11" i="15" s="1"/>
  <c r="I11" i="15"/>
  <c r="O11" i="15" s="1"/>
  <c r="H11" i="15"/>
  <c r="N11" i="15" s="1"/>
  <c r="J32" i="14"/>
  <c r="P32" i="14" s="1"/>
  <c r="I32" i="14"/>
  <c r="O32" i="14" s="1"/>
  <c r="H32" i="14"/>
  <c r="N32" i="14" s="1"/>
  <c r="J31" i="14"/>
  <c r="I31" i="14"/>
  <c r="O31" i="14" s="1"/>
  <c r="H31" i="14"/>
  <c r="N31" i="14" s="1"/>
  <c r="J30" i="14"/>
  <c r="P30" i="14" s="1"/>
  <c r="I30" i="14"/>
  <c r="O30" i="14" s="1"/>
  <c r="H30" i="14"/>
  <c r="N30" i="14" s="1"/>
  <c r="J29" i="14"/>
  <c r="I29" i="14"/>
  <c r="O29" i="14" s="1"/>
  <c r="H29" i="14"/>
  <c r="N29" i="14" s="1"/>
  <c r="J28" i="14"/>
  <c r="P28" i="14" s="1"/>
  <c r="I28" i="14"/>
  <c r="O28" i="14" s="1"/>
  <c r="H28" i="14"/>
  <c r="N28" i="14" s="1"/>
  <c r="J27" i="14"/>
  <c r="P27" i="14" s="1"/>
  <c r="I27" i="14"/>
  <c r="O27" i="14" s="1"/>
  <c r="H27" i="14"/>
  <c r="N27" i="14" s="1"/>
  <c r="J26" i="14"/>
  <c r="P26" i="14" s="1"/>
  <c r="I26" i="14"/>
  <c r="O26" i="14" s="1"/>
  <c r="H26" i="14"/>
  <c r="N26" i="14" s="1"/>
  <c r="J25" i="14"/>
  <c r="P25" i="14" s="1"/>
  <c r="I25" i="14"/>
  <c r="O25" i="14" s="1"/>
  <c r="H25" i="14"/>
  <c r="N25" i="14" s="1"/>
  <c r="J24" i="14"/>
  <c r="I24" i="14"/>
  <c r="H24" i="14"/>
  <c r="N24" i="14" s="1"/>
  <c r="J23" i="14"/>
  <c r="P23" i="14" s="1"/>
  <c r="I23" i="14"/>
  <c r="O23" i="14" s="1"/>
  <c r="H23" i="14"/>
  <c r="N23" i="14" s="1"/>
  <c r="J22" i="14"/>
  <c r="I22" i="14"/>
  <c r="O22" i="14" s="1"/>
  <c r="H22" i="14"/>
  <c r="N22" i="14" s="1"/>
  <c r="J21" i="14"/>
  <c r="P21" i="14" s="1"/>
  <c r="I21" i="14"/>
  <c r="O21" i="14" s="1"/>
  <c r="H21" i="14"/>
  <c r="N21" i="14" s="1"/>
  <c r="J20" i="14"/>
  <c r="I20" i="14"/>
  <c r="O20" i="14" s="1"/>
  <c r="H20" i="14"/>
  <c r="N20" i="14" s="1"/>
  <c r="J19" i="14"/>
  <c r="P19" i="14" s="1"/>
  <c r="I19" i="14"/>
  <c r="O19" i="14" s="1"/>
  <c r="H19" i="14"/>
  <c r="N19" i="14" s="1"/>
  <c r="J18" i="14"/>
  <c r="P18" i="14" s="1"/>
  <c r="I18" i="14"/>
  <c r="O18" i="14" s="1"/>
  <c r="H18" i="14"/>
  <c r="N18" i="14" s="1"/>
  <c r="J17" i="14"/>
  <c r="P17" i="14" s="1"/>
  <c r="I17" i="14"/>
  <c r="O17" i="14" s="1"/>
  <c r="H17" i="14"/>
  <c r="N17" i="14" s="1"/>
  <c r="J16" i="14"/>
  <c r="P16" i="14" s="1"/>
  <c r="I16" i="14"/>
  <c r="O16" i="14" s="1"/>
  <c r="H16" i="14"/>
  <c r="N16" i="14" s="1"/>
  <c r="J15" i="14"/>
  <c r="P15" i="14" s="1"/>
  <c r="I15" i="14"/>
  <c r="O15" i="14" s="1"/>
  <c r="H15" i="14"/>
  <c r="N15" i="14" s="1"/>
  <c r="J14" i="14"/>
  <c r="I14" i="14"/>
  <c r="O14" i="14" s="1"/>
  <c r="H14" i="14"/>
  <c r="N14" i="14" s="1"/>
  <c r="J13" i="14"/>
  <c r="P13" i="14" s="1"/>
  <c r="I13" i="14"/>
  <c r="O13" i="14" s="1"/>
  <c r="H13" i="14"/>
  <c r="N13" i="14" s="1"/>
  <c r="J12" i="14"/>
  <c r="P12" i="14" s="1"/>
  <c r="I12" i="14"/>
  <c r="O12" i="14" s="1"/>
  <c r="H12" i="14"/>
  <c r="N12" i="14" s="1"/>
  <c r="J11" i="14"/>
  <c r="P11" i="14" s="1"/>
  <c r="I11" i="14"/>
  <c r="O11" i="14" s="1"/>
  <c r="H11" i="14"/>
  <c r="J32" i="13"/>
  <c r="I32" i="13"/>
  <c r="O32" i="13" s="1"/>
  <c r="H32" i="13"/>
  <c r="N32" i="13" s="1"/>
  <c r="J31" i="13"/>
  <c r="P31" i="13" s="1"/>
  <c r="I31" i="13"/>
  <c r="O31" i="13" s="1"/>
  <c r="H31" i="13"/>
  <c r="N31" i="13" s="1"/>
  <c r="J30" i="13"/>
  <c r="P30" i="13" s="1"/>
  <c r="I30" i="13"/>
  <c r="O30" i="13" s="1"/>
  <c r="H30" i="13"/>
  <c r="N30" i="13" s="1"/>
  <c r="J29" i="13"/>
  <c r="P29" i="13" s="1"/>
  <c r="I29" i="13"/>
  <c r="O29" i="13" s="1"/>
  <c r="H29" i="13"/>
  <c r="N29" i="13" s="1"/>
  <c r="J28" i="13"/>
  <c r="I28" i="13"/>
  <c r="O28" i="13" s="1"/>
  <c r="H28" i="13"/>
  <c r="N28" i="13" s="1"/>
  <c r="J27" i="13"/>
  <c r="P27" i="13" s="1"/>
  <c r="I27" i="13"/>
  <c r="O27" i="13" s="1"/>
  <c r="H27" i="13"/>
  <c r="N27" i="13" s="1"/>
  <c r="J26" i="13"/>
  <c r="P26" i="13" s="1"/>
  <c r="I26" i="13"/>
  <c r="O26" i="13" s="1"/>
  <c r="H26" i="13"/>
  <c r="N26" i="13" s="1"/>
  <c r="J25" i="13"/>
  <c r="P25" i="13" s="1"/>
  <c r="I25" i="13"/>
  <c r="O25" i="13" s="1"/>
  <c r="H25" i="13"/>
  <c r="N25" i="13" s="1"/>
  <c r="J24" i="13"/>
  <c r="I24" i="13"/>
  <c r="O24" i="13" s="1"/>
  <c r="H24" i="13"/>
  <c r="N24" i="13" s="1"/>
  <c r="J23" i="13"/>
  <c r="P23" i="13" s="1"/>
  <c r="I23" i="13"/>
  <c r="O23" i="13" s="1"/>
  <c r="H23" i="13"/>
  <c r="N23" i="13" s="1"/>
  <c r="J22" i="13"/>
  <c r="P22" i="13" s="1"/>
  <c r="I22" i="13"/>
  <c r="O22" i="13" s="1"/>
  <c r="H22" i="13"/>
  <c r="N22" i="13" s="1"/>
  <c r="J21" i="13"/>
  <c r="P21" i="13" s="1"/>
  <c r="I21" i="13"/>
  <c r="O21" i="13" s="1"/>
  <c r="H21" i="13"/>
  <c r="N21" i="13" s="1"/>
  <c r="J20" i="13"/>
  <c r="P20" i="13" s="1"/>
  <c r="I20" i="13"/>
  <c r="O20" i="13" s="1"/>
  <c r="H20" i="13"/>
  <c r="N20" i="13" s="1"/>
  <c r="J19" i="13"/>
  <c r="P19" i="13" s="1"/>
  <c r="I19" i="13"/>
  <c r="O19" i="13" s="1"/>
  <c r="H19" i="13"/>
  <c r="N19" i="13" s="1"/>
  <c r="J18" i="13"/>
  <c r="P18" i="13" s="1"/>
  <c r="I18" i="13"/>
  <c r="O18" i="13" s="1"/>
  <c r="H18" i="13"/>
  <c r="N18" i="13" s="1"/>
  <c r="J17" i="13"/>
  <c r="P17" i="13" s="1"/>
  <c r="I17" i="13"/>
  <c r="O17" i="13" s="1"/>
  <c r="H17" i="13"/>
  <c r="N17" i="13" s="1"/>
  <c r="J16" i="13"/>
  <c r="I16" i="13"/>
  <c r="O16" i="13" s="1"/>
  <c r="H16" i="13"/>
  <c r="N16" i="13" s="1"/>
  <c r="J15" i="13"/>
  <c r="P15" i="13" s="1"/>
  <c r="I15" i="13"/>
  <c r="O15" i="13" s="1"/>
  <c r="H15" i="13"/>
  <c r="N15" i="13" s="1"/>
  <c r="J14" i="13"/>
  <c r="I14" i="13"/>
  <c r="O14" i="13" s="1"/>
  <c r="H14" i="13"/>
  <c r="N14" i="13" s="1"/>
  <c r="J13" i="13"/>
  <c r="P13" i="13" s="1"/>
  <c r="I13" i="13"/>
  <c r="O13" i="13" s="1"/>
  <c r="H13" i="13"/>
  <c r="N13" i="13" s="1"/>
  <c r="J12" i="13"/>
  <c r="I12" i="13"/>
  <c r="O12" i="13" s="1"/>
  <c r="H12" i="13"/>
  <c r="N12" i="13" s="1"/>
  <c r="J11" i="13"/>
  <c r="I11" i="13"/>
  <c r="O11" i="13" s="1"/>
  <c r="H11" i="13"/>
  <c r="N11" i="13" s="1"/>
  <c r="J32" i="12"/>
  <c r="I32" i="12"/>
  <c r="O32" i="12" s="1"/>
  <c r="H32" i="12"/>
  <c r="N32" i="12" s="1"/>
  <c r="J31" i="12"/>
  <c r="P31" i="12" s="1"/>
  <c r="I31" i="12"/>
  <c r="O31" i="12" s="1"/>
  <c r="H31" i="12"/>
  <c r="N31" i="12" s="1"/>
  <c r="J30" i="12"/>
  <c r="P30" i="12" s="1"/>
  <c r="I30" i="12"/>
  <c r="O30" i="12" s="1"/>
  <c r="H30" i="12"/>
  <c r="N30" i="12" s="1"/>
  <c r="J29" i="12"/>
  <c r="I29" i="12"/>
  <c r="O29" i="12" s="1"/>
  <c r="H29" i="12"/>
  <c r="N29" i="12" s="1"/>
  <c r="J28" i="12"/>
  <c r="P28" i="12" s="1"/>
  <c r="I28" i="12"/>
  <c r="O28" i="12" s="1"/>
  <c r="H28" i="12"/>
  <c r="N28" i="12" s="1"/>
  <c r="J27" i="12"/>
  <c r="P27" i="12" s="1"/>
  <c r="I27" i="12"/>
  <c r="O27" i="12" s="1"/>
  <c r="H27" i="12"/>
  <c r="N27" i="12" s="1"/>
  <c r="J26" i="12"/>
  <c r="I26" i="12"/>
  <c r="O26" i="12" s="1"/>
  <c r="H26" i="12"/>
  <c r="N26" i="12" s="1"/>
  <c r="J25" i="12"/>
  <c r="P25" i="12" s="1"/>
  <c r="I25" i="12"/>
  <c r="O25" i="12" s="1"/>
  <c r="H25" i="12"/>
  <c r="N25" i="12" s="1"/>
  <c r="J24" i="12"/>
  <c r="P24" i="12" s="1"/>
  <c r="I24" i="12"/>
  <c r="O24" i="12" s="1"/>
  <c r="H24" i="12"/>
  <c r="N24" i="12" s="1"/>
  <c r="J23" i="12"/>
  <c r="I23" i="12"/>
  <c r="O23" i="12" s="1"/>
  <c r="H23" i="12"/>
  <c r="N23" i="12" s="1"/>
  <c r="J22" i="12"/>
  <c r="P22" i="12" s="1"/>
  <c r="I22" i="12"/>
  <c r="O22" i="12" s="1"/>
  <c r="H22" i="12"/>
  <c r="N22" i="12" s="1"/>
  <c r="J21" i="12"/>
  <c r="I21" i="12"/>
  <c r="O21" i="12" s="1"/>
  <c r="H21" i="12"/>
  <c r="N21" i="12" s="1"/>
  <c r="J20" i="12"/>
  <c r="P20" i="12" s="1"/>
  <c r="I20" i="12"/>
  <c r="O20" i="12" s="1"/>
  <c r="H20" i="12"/>
  <c r="N20" i="12" s="1"/>
  <c r="J19" i="12"/>
  <c r="I19" i="12"/>
  <c r="O19" i="12" s="1"/>
  <c r="H19" i="12"/>
  <c r="N19" i="12" s="1"/>
  <c r="J18" i="12"/>
  <c r="P18" i="12" s="1"/>
  <c r="I18" i="12"/>
  <c r="O18" i="12" s="1"/>
  <c r="H18" i="12"/>
  <c r="N18" i="12" s="1"/>
  <c r="J17" i="12"/>
  <c r="P17" i="12" s="1"/>
  <c r="I17" i="12"/>
  <c r="O17" i="12" s="1"/>
  <c r="H17" i="12"/>
  <c r="N17" i="12" s="1"/>
  <c r="J16" i="12"/>
  <c r="I16" i="12"/>
  <c r="O16" i="12" s="1"/>
  <c r="H16" i="12"/>
  <c r="N16" i="12" s="1"/>
  <c r="J15" i="12"/>
  <c r="P15" i="12" s="1"/>
  <c r="I15" i="12"/>
  <c r="O15" i="12" s="1"/>
  <c r="H15" i="12"/>
  <c r="N15" i="12" s="1"/>
  <c r="J14" i="12"/>
  <c r="P14" i="12" s="1"/>
  <c r="I14" i="12"/>
  <c r="O14" i="12" s="1"/>
  <c r="H14" i="12"/>
  <c r="N14" i="12" s="1"/>
  <c r="J13" i="12"/>
  <c r="P13" i="12" s="1"/>
  <c r="I13" i="12"/>
  <c r="O13" i="12" s="1"/>
  <c r="H13" i="12"/>
  <c r="N13" i="12" s="1"/>
  <c r="J12" i="12"/>
  <c r="P12" i="12" s="1"/>
  <c r="I12" i="12"/>
  <c r="O12" i="12" s="1"/>
  <c r="H12" i="12"/>
  <c r="N12" i="12" s="1"/>
  <c r="J11" i="12"/>
  <c r="I11" i="12"/>
  <c r="O11" i="12" s="1"/>
  <c r="H11" i="12"/>
  <c r="J32" i="11"/>
  <c r="P32" i="11" s="1"/>
  <c r="I32" i="11"/>
  <c r="O32" i="11" s="1"/>
  <c r="H32" i="11"/>
  <c r="N32" i="11" s="1"/>
  <c r="J31" i="11"/>
  <c r="I31" i="11"/>
  <c r="O31" i="11" s="1"/>
  <c r="H31" i="11"/>
  <c r="N31" i="11" s="1"/>
  <c r="J30" i="11"/>
  <c r="P30" i="11" s="1"/>
  <c r="I30" i="11"/>
  <c r="O30" i="11" s="1"/>
  <c r="H30" i="11"/>
  <c r="N30" i="11" s="1"/>
  <c r="J29" i="11"/>
  <c r="I29" i="11"/>
  <c r="O29" i="11" s="1"/>
  <c r="H29" i="11"/>
  <c r="N29" i="11" s="1"/>
  <c r="J28" i="11"/>
  <c r="P28" i="11" s="1"/>
  <c r="I28" i="11"/>
  <c r="O28" i="11" s="1"/>
  <c r="H28" i="11"/>
  <c r="N28" i="11" s="1"/>
  <c r="J27" i="11"/>
  <c r="P27" i="11" s="1"/>
  <c r="I27" i="11"/>
  <c r="O27" i="11" s="1"/>
  <c r="H27" i="11"/>
  <c r="N27" i="11" s="1"/>
  <c r="J26" i="11"/>
  <c r="I26" i="11"/>
  <c r="O26" i="11" s="1"/>
  <c r="H26" i="11"/>
  <c r="N26" i="11" s="1"/>
  <c r="J25" i="11"/>
  <c r="P25" i="11" s="1"/>
  <c r="I25" i="11"/>
  <c r="O25" i="11" s="1"/>
  <c r="H25" i="11"/>
  <c r="N25" i="11" s="1"/>
  <c r="J24" i="11"/>
  <c r="I24" i="11"/>
  <c r="O24" i="11" s="1"/>
  <c r="H24" i="11"/>
  <c r="N24" i="11" s="1"/>
  <c r="J23" i="11"/>
  <c r="P23" i="11" s="1"/>
  <c r="I23" i="11"/>
  <c r="O23" i="11" s="1"/>
  <c r="H23" i="11"/>
  <c r="N23" i="11" s="1"/>
  <c r="J22" i="11"/>
  <c r="P22" i="11" s="1"/>
  <c r="I22" i="11"/>
  <c r="O22" i="11" s="1"/>
  <c r="H22" i="11"/>
  <c r="N22" i="11" s="1"/>
  <c r="J21" i="11"/>
  <c r="P21" i="11" s="1"/>
  <c r="I21" i="11"/>
  <c r="O21" i="11" s="1"/>
  <c r="H21" i="11"/>
  <c r="N21" i="11" s="1"/>
  <c r="J20" i="11"/>
  <c r="P20" i="11" s="1"/>
  <c r="I20" i="11"/>
  <c r="O20" i="11" s="1"/>
  <c r="H20" i="11"/>
  <c r="N20" i="11" s="1"/>
  <c r="J19" i="11"/>
  <c r="I19" i="11"/>
  <c r="O19" i="11" s="1"/>
  <c r="H19" i="11"/>
  <c r="N19" i="11" s="1"/>
  <c r="J18" i="11"/>
  <c r="P18" i="11" s="1"/>
  <c r="I18" i="11"/>
  <c r="O18" i="11" s="1"/>
  <c r="H18" i="11"/>
  <c r="N18" i="11" s="1"/>
  <c r="J17" i="11"/>
  <c r="I17" i="11"/>
  <c r="O17" i="11" s="1"/>
  <c r="H17" i="11"/>
  <c r="N17" i="11" s="1"/>
  <c r="J16" i="11"/>
  <c r="P16" i="11" s="1"/>
  <c r="I16" i="11"/>
  <c r="O16" i="11" s="1"/>
  <c r="H16" i="11"/>
  <c r="N16" i="11" s="1"/>
  <c r="J15" i="11"/>
  <c r="P15" i="11" s="1"/>
  <c r="I15" i="11"/>
  <c r="O15" i="11" s="1"/>
  <c r="H15" i="11"/>
  <c r="N15" i="11" s="1"/>
  <c r="J14" i="11"/>
  <c r="P14" i="11" s="1"/>
  <c r="I14" i="11"/>
  <c r="O14" i="11" s="1"/>
  <c r="H14" i="11"/>
  <c r="N14" i="11" s="1"/>
  <c r="J13" i="11"/>
  <c r="P13" i="11" s="1"/>
  <c r="I13" i="11"/>
  <c r="O13" i="11" s="1"/>
  <c r="H13" i="11"/>
  <c r="N13" i="11" s="1"/>
  <c r="J12" i="11"/>
  <c r="I12" i="11"/>
  <c r="O12" i="11" s="1"/>
  <c r="H12" i="11"/>
  <c r="N12" i="11" s="1"/>
  <c r="J11" i="11"/>
  <c r="P11" i="11" s="1"/>
  <c r="I11" i="11"/>
  <c r="O11" i="11" s="1"/>
  <c r="H11" i="11"/>
  <c r="N11" i="11" s="1"/>
  <c r="J32" i="10"/>
  <c r="P32" i="10" s="1"/>
  <c r="I32" i="10"/>
  <c r="O32" i="10" s="1"/>
  <c r="H32" i="10"/>
  <c r="N32" i="10" s="1"/>
  <c r="J31" i="10"/>
  <c r="P31" i="10" s="1"/>
  <c r="I31" i="10"/>
  <c r="O31" i="10" s="1"/>
  <c r="H31" i="10"/>
  <c r="N31" i="10" s="1"/>
  <c r="J30" i="10"/>
  <c r="I30" i="10"/>
  <c r="O30" i="10" s="1"/>
  <c r="H30" i="10"/>
  <c r="N30" i="10" s="1"/>
  <c r="J29" i="10"/>
  <c r="I29" i="10"/>
  <c r="O29" i="10" s="1"/>
  <c r="H29" i="10"/>
  <c r="N29" i="10" s="1"/>
  <c r="J28" i="10"/>
  <c r="P28" i="10" s="1"/>
  <c r="I28" i="10"/>
  <c r="O28" i="10" s="1"/>
  <c r="H28" i="10"/>
  <c r="N28" i="10" s="1"/>
  <c r="J27" i="10"/>
  <c r="I27" i="10"/>
  <c r="O27" i="10" s="1"/>
  <c r="H27" i="10"/>
  <c r="N27" i="10" s="1"/>
  <c r="J26" i="10"/>
  <c r="P26" i="10" s="1"/>
  <c r="I26" i="10"/>
  <c r="O26" i="10" s="1"/>
  <c r="H26" i="10"/>
  <c r="N26" i="10" s="1"/>
  <c r="J25" i="10"/>
  <c r="P25" i="10" s="1"/>
  <c r="I25" i="10"/>
  <c r="O25" i="10" s="1"/>
  <c r="H25" i="10"/>
  <c r="N25" i="10" s="1"/>
  <c r="J24" i="10"/>
  <c r="I24" i="10"/>
  <c r="O24" i="10" s="1"/>
  <c r="H24" i="10"/>
  <c r="N24" i="10" s="1"/>
  <c r="J23" i="10"/>
  <c r="P23" i="10" s="1"/>
  <c r="I23" i="10"/>
  <c r="O23" i="10" s="1"/>
  <c r="H23" i="10"/>
  <c r="N23" i="10" s="1"/>
  <c r="J22" i="10"/>
  <c r="P22" i="10" s="1"/>
  <c r="I22" i="10"/>
  <c r="O22" i="10" s="1"/>
  <c r="H22" i="10"/>
  <c r="N22" i="10" s="1"/>
  <c r="J21" i="10"/>
  <c r="P21" i="10" s="1"/>
  <c r="I21" i="10"/>
  <c r="O21" i="10" s="1"/>
  <c r="H21" i="10"/>
  <c r="N21" i="10" s="1"/>
  <c r="J20" i="10"/>
  <c r="I20" i="10"/>
  <c r="O20" i="10" s="1"/>
  <c r="H20" i="10"/>
  <c r="N20" i="10" s="1"/>
  <c r="J19" i="10"/>
  <c r="I19" i="10"/>
  <c r="O19" i="10" s="1"/>
  <c r="H19" i="10"/>
  <c r="N19" i="10" s="1"/>
  <c r="J18" i="10"/>
  <c r="P18" i="10" s="1"/>
  <c r="I18" i="10"/>
  <c r="O18" i="10" s="1"/>
  <c r="H18" i="10"/>
  <c r="N18" i="10" s="1"/>
  <c r="J17" i="10"/>
  <c r="I17" i="10"/>
  <c r="O17" i="10" s="1"/>
  <c r="H17" i="10"/>
  <c r="N17" i="10" s="1"/>
  <c r="J16" i="10"/>
  <c r="P16" i="10" s="1"/>
  <c r="I16" i="10"/>
  <c r="O16" i="10" s="1"/>
  <c r="H16" i="10"/>
  <c r="N16" i="10" s="1"/>
  <c r="J15" i="10"/>
  <c r="I15" i="10"/>
  <c r="O15" i="10" s="1"/>
  <c r="H15" i="10"/>
  <c r="N15" i="10" s="1"/>
  <c r="J14" i="10"/>
  <c r="P14" i="10" s="1"/>
  <c r="I14" i="10"/>
  <c r="O14" i="10" s="1"/>
  <c r="H14" i="10"/>
  <c r="N14" i="10" s="1"/>
  <c r="J13" i="10"/>
  <c r="I13" i="10"/>
  <c r="O13" i="10" s="1"/>
  <c r="H13" i="10"/>
  <c r="N13" i="10" s="1"/>
  <c r="J12" i="10"/>
  <c r="I12" i="10"/>
  <c r="O12" i="10" s="1"/>
  <c r="H12" i="10"/>
  <c r="N12" i="10" s="1"/>
  <c r="J11" i="10"/>
  <c r="P11" i="10" s="1"/>
  <c r="I11" i="10"/>
  <c r="H11" i="10"/>
  <c r="N11" i="10" s="1"/>
  <c r="J32" i="9"/>
  <c r="I32" i="9"/>
  <c r="O32" i="9" s="1"/>
  <c r="H32" i="9"/>
  <c r="N32" i="9" s="1"/>
  <c r="J31" i="9"/>
  <c r="P31" i="9" s="1"/>
  <c r="I31" i="9"/>
  <c r="O31" i="9" s="1"/>
  <c r="H31" i="9"/>
  <c r="N31" i="9" s="1"/>
  <c r="J30" i="9"/>
  <c r="P30" i="9" s="1"/>
  <c r="I30" i="9"/>
  <c r="O30" i="9" s="1"/>
  <c r="H30" i="9"/>
  <c r="N30" i="9" s="1"/>
  <c r="J29" i="9"/>
  <c r="P29" i="9" s="1"/>
  <c r="I29" i="9"/>
  <c r="O29" i="9" s="1"/>
  <c r="H29" i="9"/>
  <c r="N29" i="9" s="1"/>
  <c r="J28" i="9"/>
  <c r="I28" i="9"/>
  <c r="O28" i="9" s="1"/>
  <c r="H28" i="9"/>
  <c r="N28" i="9" s="1"/>
  <c r="J27" i="9"/>
  <c r="I27" i="9"/>
  <c r="O27" i="9" s="1"/>
  <c r="H27" i="9"/>
  <c r="N27" i="9" s="1"/>
  <c r="J26" i="9"/>
  <c r="P26" i="9" s="1"/>
  <c r="I26" i="9"/>
  <c r="O26" i="9" s="1"/>
  <c r="H26" i="9"/>
  <c r="N26" i="9" s="1"/>
  <c r="J25" i="9"/>
  <c r="I25" i="9"/>
  <c r="O25" i="9" s="1"/>
  <c r="H25" i="9"/>
  <c r="N25" i="9" s="1"/>
  <c r="J24" i="9"/>
  <c r="I24" i="9"/>
  <c r="O24" i="9" s="1"/>
  <c r="H24" i="9"/>
  <c r="N24" i="9" s="1"/>
  <c r="J23" i="9"/>
  <c r="I23" i="9"/>
  <c r="O23" i="9" s="1"/>
  <c r="H23" i="9"/>
  <c r="N23" i="9" s="1"/>
  <c r="J22" i="9"/>
  <c r="P22" i="9" s="1"/>
  <c r="I22" i="9"/>
  <c r="O22" i="9" s="1"/>
  <c r="H22" i="9"/>
  <c r="N22" i="9" s="1"/>
  <c r="J21" i="9"/>
  <c r="P21" i="9" s="1"/>
  <c r="I21" i="9"/>
  <c r="O21" i="9" s="1"/>
  <c r="H21" i="9"/>
  <c r="N21" i="9" s="1"/>
  <c r="J20" i="9"/>
  <c r="I20" i="9"/>
  <c r="O20" i="9" s="1"/>
  <c r="H20" i="9"/>
  <c r="N20" i="9" s="1"/>
  <c r="J19" i="9"/>
  <c r="I19" i="9"/>
  <c r="O19" i="9" s="1"/>
  <c r="H19" i="9"/>
  <c r="N19" i="9" s="1"/>
  <c r="J18" i="9"/>
  <c r="I18" i="9"/>
  <c r="O18" i="9" s="1"/>
  <c r="H18" i="9"/>
  <c r="N18" i="9" s="1"/>
  <c r="J17" i="9"/>
  <c r="I17" i="9"/>
  <c r="O17" i="9" s="1"/>
  <c r="H17" i="9"/>
  <c r="N17" i="9" s="1"/>
  <c r="J16" i="9"/>
  <c r="P16" i="9" s="1"/>
  <c r="I16" i="9"/>
  <c r="O16" i="9" s="1"/>
  <c r="H16" i="9"/>
  <c r="N16" i="9" s="1"/>
  <c r="J15" i="9"/>
  <c r="P15" i="9" s="1"/>
  <c r="I15" i="9"/>
  <c r="O15" i="9" s="1"/>
  <c r="H15" i="9"/>
  <c r="J14" i="9"/>
  <c r="I14" i="9"/>
  <c r="O14" i="9" s="1"/>
  <c r="H14" i="9"/>
  <c r="N14" i="9" s="1"/>
  <c r="J13" i="9"/>
  <c r="I13" i="9"/>
  <c r="O13" i="9" s="1"/>
  <c r="H13" i="9"/>
  <c r="N13" i="9" s="1"/>
  <c r="J12" i="9"/>
  <c r="I12" i="9"/>
  <c r="O12" i="9" s="1"/>
  <c r="H12" i="9"/>
  <c r="N12" i="9" s="1"/>
  <c r="J11" i="9"/>
  <c r="P11" i="9" s="1"/>
  <c r="I11" i="9"/>
  <c r="O11" i="9" s="1"/>
  <c r="H11" i="9"/>
  <c r="N11" i="9" s="1"/>
  <c r="J32" i="8"/>
  <c r="I32" i="8"/>
  <c r="O32" i="8" s="1"/>
  <c r="H32" i="8"/>
  <c r="N32" i="8" s="1"/>
  <c r="J31" i="8"/>
  <c r="P31" i="8" s="1"/>
  <c r="I31" i="8"/>
  <c r="O31" i="8" s="1"/>
  <c r="H31" i="8"/>
  <c r="N31" i="8" s="1"/>
  <c r="J30" i="8"/>
  <c r="P30" i="8" s="1"/>
  <c r="I30" i="8"/>
  <c r="O30" i="8" s="1"/>
  <c r="H30" i="8"/>
  <c r="N30" i="8" s="1"/>
  <c r="J29" i="8"/>
  <c r="I29" i="8"/>
  <c r="O29" i="8" s="1"/>
  <c r="H29" i="8"/>
  <c r="N29" i="8" s="1"/>
  <c r="J28" i="8"/>
  <c r="P28" i="8" s="1"/>
  <c r="I28" i="8"/>
  <c r="O28" i="8" s="1"/>
  <c r="H28" i="8"/>
  <c r="N28" i="8" s="1"/>
  <c r="J27" i="8"/>
  <c r="I27" i="8"/>
  <c r="O27" i="8" s="1"/>
  <c r="H27" i="8"/>
  <c r="N27" i="8" s="1"/>
  <c r="J26" i="8"/>
  <c r="P26" i="8" s="1"/>
  <c r="I26" i="8"/>
  <c r="O26" i="8" s="1"/>
  <c r="H26" i="8"/>
  <c r="N26" i="8" s="1"/>
  <c r="J25" i="8"/>
  <c r="I25" i="8"/>
  <c r="O25" i="8" s="1"/>
  <c r="H25" i="8"/>
  <c r="N25" i="8" s="1"/>
  <c r="J24" i="8"/>
  <c r="I24" i="8"/>
  <c r="O24" i="8" s="1"/>
  <c r="H24" i="8"/>
  <c r="N24" i="8" s="1"/>
  <c r="J23" i="8"/>
  <c r="P23" i="8" s="1"/>
  <c r="I23" i="8"/>
  <c r="O23" i="8" s="1"/>
  <c r="H23" i="8"/>
  <c r="N23" i="8" s="1"/>
  <c r="J22" i="8"/>
  <c r="I22" i="8"/>
  <c r="O22" i="8" s="1"/>
  <c r="H22" i="8"/>
  <c r="N22" i="8" s="1"/>
  <c r="J21" i="8"/>
  <c r="P21" i="8" s="1"/>
  <c r="I21" i="8"/>
  <c r="O21" i="8" s="1"/>
  <c r="H21" i="8"/>
  <c r="N21" i="8" s="1"/>
  <c r="J20" i="8"/>
  <c r="I20" i="8"/>
  <c r="O20" i="8" s="1"/>
  <c r="H20" i="8"/>
  <c r="N20" i="8" s="1"/>
  <c r="J19" i="8"/>
  <c r="P19" i="8" s="1"/>
  <c r="I19" i="8"/>
  <c r="O19" i="8" s="1"/>
  <c r="H19" i="8"/>
  <c r="N19" i="8" s="1"/>
  <c r="J18" i="8"/>
  <c r="P18" i="8" s="1"/>
  <c r="I18" i="8"/>
  <c r="O18" i="8" s="1"/>
  <c r="H18" i="8"/>
  <c r="N18" i="8" s="1"/>
  <c r="J17" i="8"/>
  <c r="I17" i="8"/>
  <c r="O17" i="8" s="1"/>
  <c r="H17" i="8"/>
  <c r="N17" i="8" s="1"/>
  <c r="J16" i="8"/>
  <c r="P16" i="8" s="1"/>
  <c r="I16" i="8"/>
  <c r="O16" i="8" s="1"/>
  <c r="H16" i="8"/>
  <c r="N16" i="8" s="1"/>
  <c r="J15" i="8"/>
  <c r="I15" i="8"/>
  <c r="O15" i="8" s="1"/>
  <c r="H15" i="8"/>
  <c r="N15" i="8" s="1"/>
  <c r="J14" i="8"/>
  <c r="P14" i="8" s="1"/>
  <c r="I14" i="8"/>
  <c r="O14" i="8" s="1"/>
  <c r="H14" i="8"/>
  <c r="N14" i="8" s="1"/>
  <c r="J13" i="8"/>
  <c r="I13" i="8"/>
  <c r="O13" i="8" s="1"/>
  <c r="H13" i="8"/>
  <c r="N13" i="8" s="1"/>
  <c r="J12" i="8"/>
  <c r="I12" i="8"/>
  <c r="O12" i="8" s="1"/>
  <c r="H12" i="8"/>
  <c r="N12" i="8" s="1"/>
  <c r="J11" i="8"/>
  <c r="P11" i="8" s="1"/>
  <c r="I11" i="8"/>
  <c r="O11" i="8" s="1"/>
  <c r="H11" i="8"/>
  <c r="J32" i="7"/>
  <c r="P32" i="7" s="1"/>
  <c r="I32" i="7"/>
  <c r="O32" i="7" s="1"/>
  <c r="H32" i="7"/>
  <c r="N32" i="7" s="1"/>
  <c r="J31" i="7"/>
  <c r="I31" i="7"/>
  <c r="O31" i="7" s="1"/>
  <c r="H31" i="7"/>
  <c r="N31" i="7" s="1"/>
  <c r="J30" i="7"/>
  <c r="I30" i="7"/>
  <c r="O30" i="7" s="1"/>
  <c r="H30" i="7"/>
  <c r="N30" i="7" s="1"/>
  <c r="J29" i="7"/>
  <c r="P29" i="7" s="1"/>
  <c r="I29" i="7"/>
  <c r="O29" i="7" s="1"/>
  <c r="H29" i="7"/>
  <c r="N29" i="7" s="1"/>
  <c r="J28" i="7"/>
  <c r="I28" i="7"/>
  <c r="O28" i="7" s="1"/>
  <c r="H28" i="7"/>
  <c r="N28" i="7" s="1"/>
  <c r="J27" i="7"/>
  <c r="P27" i="7" s="1"/>
  <c r="I27" i="7"/>
  <c r="O27" i="7" s="1"/>
  <c r="H27" i="7"/>
  <c r="N27" i="7" s="1"/>
  <c r="J26" i="7"/>
  <c r="I26" i="7"/>
  <c r="O26" i="7" s="1"/>
  <c r="H26" i="7"/>
  <c r="N26" i="7" s="1"/>
  <c r="J25" i="7"/>
  <c r="I25" i="7"/>
  <c r="O25" i="7" s="1"/>
  <c r="H25" i="7"/>
  <c r="N25" i="7" s="1"/>
  <c r="J24" i="7"/>
  <c r="I24" i="7"/>
  <c r="O24" i="7" s="1"/>
  <c r="H24" i="7"/>
  <c r="N24" i="7" s="1"/>
  <c r="J23" i="7"/>
  <c r="P23" i="7" s="1"/>
  <c r="I23" i="7"/>
  <c r="O23" i="7" s="1"/>
  <c r="H23" i="7"/>
  <c r="N23" i="7" s="1"/>
  <c r="J22" i="7"/>
  <c r="P22" i="7" s="1"/>
  <c r="I22" i="7"/>
  <c r="O22" i="7" s="1"/>
  <c r="H22" i="7"/>
  <c r="N22" i="7" s="1"/>
  <c r="J21" i="7"/>
  <c r="I21" i="7"/>
  <c r="O21" i="7" s="1"/>
  <c r="H21" i="7"/>
  <c r="N21" i="7" s="1"/>
  <c r="J20" i="7"/>
  <c r="I20" i="7"/>
  <c r="O20" i="7" s="1"/>
  <c r="H20" i="7"/>
  <c r="N20" i="7" s="1"/>
  <c r="J19" i="7"/>
  <c r="P19" i="7" s="1"/>
  <c r="I19" i="7"/>
  <c r="O19" i="7" s="1"/>
  <c r="H19" i="7"/>
  <c r="N19" i="7" s="1"/>
  <c r="J18" i="7"/>
  <c r="P18" i="7" s="1"/>
  <c r="I18" i="7"/>
  <c r="O18" i="7" s="1"/>
  <c r="H18" i="7"/>
  <c r="N18" i="7" s="1"/>
  <c r="J17" i="7"/>
  <c r="I17" i="7"/>
  <c r="O17" i="7" s="1"/>
  <c r="H17" i="7"/>
  <c r="N17" i="7" s="1"/>
  <c r="J16" i="7"/>
  <c r="P16" i="7" s="1"/>
  <c r="I16" i="7"/>
  <c r="O16" i="7" s="1"/>
  <c r="H16" i="7"/>
  <c r="N16" i="7" s="1"/>
  <c r="J15" i="7"/>
  <c r="I15" i="7"/>
  <c r="O15" i="7" s="1"/>
  <c r="H15" i="7"/>
  <c r="N15" i="7" s="1"/>
  <c r="J14" i="7"/>
  <c r="P14" i="7" s="1"/>
  <c r="I14" i="7"/>
  <c r="O14" i="7" s="1"/>
  <c r="H14" i="7"/>
  <c r="N14" i="7" s="1"/>
  <c r="J13" i="7"/>
  <c r="P13" i="7" s="1"/>
  <c r="I13" i="7"/>
  <c r="O13" i="7" s="1"/>
  <c r="H13" i="7"/>
  <c r="N13" i="7" s="1"/>
  <c r="J12" i="7"/>
  <c r="I12" i="7"/>
  <c r="O12" i="7" s="1"/>
  <c r="H12" i="7"/>
  <c r="N12" i="7" s="1"/>
  <c r="J11" i="7"/>
  <c r="I11" i="7"/>
  <c r="O11" i="7" s="1"/>
  <c r="H11" i="7"/>
  <c r="N11" i="7" s="1"/>
  <c r="J32" i="6"/>
  <c r="P32" i="6" s="1"/>
  <c r="I32" i="6"/>
  <c r="O32" i="6" s="1"/>
  <c r="H32" i="6"/>
  <c r="N32" i="6" s="1"/>
  <c r="J31" i="6"/>
  <c r="P31" i="6" s="1"/>
  <c r="I31" i="6"/>
  <c r="O31" i="6" s="1"/>
  <c r="H31" i="6"/>
  <c r="N31" i="6" s="1"/>
  <c r="J30" i="6"/>
  <c r="P30" i="6" s="1"/>
  <c r="I30" i="6"/>
  <c r="O30" i="6" s="1"/>
  <c r="H30" i="6"/>
  <c r="N30" i="6" s="1"/>
  <c r="J29" i="6"/>
  <c r="P29" i="6" s="1"/>
  <c r="I29" i="6"/>
  <c r="O29" i="6" s="1"/>
  <c r="H29" i="6"/>
  <c r="N29" i="6" s="1"/>
  <c r="J28" i="6"/>
  <c r="I28" i="6"/>
  <c r="O28" i="6" s="1"/>
  <c r="H28" i="6"/>
  <c r="N28" i="6" s="1"/>
  <c r="J27" i="6"/>
  <c r="P27" i="6" s="1"/>
  <c r="I27" i="6"/>
  <c r="O27" i="6" s="1"/>
  <c r="H27" i="6"/>
  <c r="N27" i="6" s="1"/>
  <c r="J26" i="6"/>
  <c r="P26" i="6" s="1"/>
  <c r="I26" i="6"/>
  <c r="O26" i="6" s="1"/>
  <c r="H26" i="6"/>
  <c r="N26" i="6" s="1"/>
  <c r="J25" i="6"/>
  <c r="P25" i="6" s="1"/>
  <c r="I25" i="6"/>
  <c r="O25" i="6" s="1"/>
  <c r="H25" i="6"/>
  <c r="N25" i="6" s="1"/>
  <c r="J24" i="6"/>
  <c r="P24" i="6" s="1"/>
  <c r="I24" i="6"/>
  <c r="O24" i="6" s="1"/>
  <c r="H24" i="6"/>
  <c r="N24" i="6" s="1"/>
  <c r="J23" i="6"/>
  <c r="I23" i="6"/>
  <c r="O23" i="6" s="1"/>
  <c r="H23" i="6"/>
  <c r="N23" i="6" s="1"/>
  <c r="J22" i="6"/>
  <c r="P22" i="6" s="1"/>
  <c r="I22" i="6"/>
  <c r="O22" i="6" s="1"/>
  <c r="H22" i="6"/>
  <c r="N22" i="6" s="1"/>
  <c r="J21" i="6"/>
  <c r="I21" i="6"/>
  <c r="O21" i="6" s="1"/>
  <c r="H21" i="6"/>
  <c r="N21" i="6" s="1"/>
  <c r="J20" i="6"/>
  <c r="I20" i="6"/>
  <c r="O20" i="6" s="1"/>
  <c r="H20" i="6"/>
  <c r="N20" i="6" s="1"/>
  <c r="J19" i="6"/>
  <c r="I19" i="6"/>
  <c r="O19" i="6" s="1"/>
  <c r="H19" i="6"/>
  <c r="N19" i="6" s="1"/>
  <c r="J18" i="6"/>
  <c r="I18" i="6"/>
  <c r="O18" i="6" s="1"/>
  <c r="H18" i="6"/>
  <c r="N18" i="6" s="1"/>
  <c r="J17" i="6"/>
  <c r="P17" i="6" s="1"/>
  <c r="I17" i="6"/>
  <c r="O17" i="6" s="1"/>
  <c r="H17" i="6"/>
  <c r="N17" i="6" s="1"/>
  <c r="J16" i="6"/>
  <c r="I16" i="6"/>
  <c r="O16" i="6" s="1"/>
  <c r="H16" i="6"/>
  <c r="N16" i="6" s="1"/>
  <c r="J15" i="6"/>
  <c r="P15" i="6" s="1"/>
  <c r="I15" i="6"/>
  <c r="O15" i="6" s="1"/>
  <c r="H15" i="6"/>
  <c r="N15" i="6" s="1"/>
  <c r="J14" i="6"/>
  <c r="I14" i="6"/>
  <c r="O14" i="6" s="1"/>
  <c r="H14" i="6"/>
  <c r="N14" i="6" s="1"/>
  <c r="J13" i="6"/>
  <c r="P13" i="6" s="1"/>
  <c r="I13" i="6"/>
  <c r="O13" i="6" s="1"/>
  <c r="H13" i="6"/>
  <c r="N13" i="6" s="1"/>
  <c r="J12" i="6"/>
  <c r="I12" i="6"/>
  <c r="O12" i="6" s="1"/>
  <c r="H12" i="6"/>
  <c r="N12" i="6" s="1"/>
  <c r="J11" i="6"/>
  <c r="I11" i="6"/>
  <c r="H11" i="6"/>
  <c r="J32" i="5"/>
  <c r="I32" i="5"/>
  <c r="O32" i="5" s="1"/>
  <c r="H32" i="5"/>
  <c r="N32" i="5" s="1"/>
  <c r="J31" i="5"/>
  <c r="I31" i="5"/>
  <c r="O31" i="5" s="1"/>
  <c r="H31" i="5"/>
  <c r="N31" i="5" s="1"/>
  <c r="J30" i="5"/>
  <c r="P30" i="5" s="1"/>
  <c r="I30" i="5"/>
  <c r="O30" i="5" s="1"/>
  <c r="H30" i="5"/>
  <c r="N30" i="5" s="1"/>
  <c r="J29" i="5"/>
  <c r="P29" i="5" s="1"/>
  <c r="I29" i="5"/>
  <c r="O29" i="5" s="1"/>
  <c r="H29" i="5"/>
  <c r="N29" i="5" s="1"/>
  <c r="J28" i="5"/>
  <c r="P28" i="5" s="1"/>
  <c r="I28" i="5"/>
  <c r="O28" i="5" s="1"/>
  <c r="H28" i="5"/>
  <c r="N28" i="5" s="1"/>
  <c r="J27" i="5"/>
  <c r="P27" i="5" s="1"/>
  <c r="I27" i="5"/>
  <c r="O27" i="5" s="1"/>
  <c r="H27" i="5"/>
  <c r="N27" i="5" s="1"/>
  <c r="J26" i="5"/>
  <c r="I26" i="5"/>
  <c r="O26" i="5" s="1"/>
  <c r="H26" i="5"/>
  <c r="N26" i="5" s="1"/>
  <c r="J25" i="5"/>
  <c r="I25" i="5"/>
  <c r="O25" i="5" s="1"/>
  <c r="H25" i="5"/>
  <c r="N25" i="5" s="1"/>
  <c r="J24" i="5"/>
  <c r="P24" i="5" s="1"/>
  <c r="I24" i="5"/>
  <c r="O24" i="5" s="1"/>
  <c r="H24" i="5"/>
  <c r="N24" i="5" s="1"/>
  <c r="J23" i="5"/>
  <c r="P23" i="5" s="1"/>
  <c r="I23" i="5"/>
  <c r="O23" i="5" s="1"/>
  <c r="H23" i="5"/>
  <c r="N23" i="5" s="1"/>
  <c r="J22" i="5"/>
  <c r="P22" i="5" s="1"/>
  <c r="I22" i="5"/>
  <c r="O22" i="5" s="1"/>
  <c r="H22" i="5"/>
  <c r="N22" i="5" s="1"/>
  <c r="J21" i="5"/>
  <c r="I21" i="5"/>
  <c r="O21" i="5" s="1"/>
  <c r="H21" i="5"/>
  <c r="N21" i="5" s="1"/>
  <c r="J20" i="5"/>
  <c r="P20" i="5" s="1"/>
  <c r="I20" i="5"/>
  <c r="O20" i="5" s="1"/>
  <c r="H20" i="5"/>
  <c r="N20" i="5" s="1"/>
  <c r="J19" i="5"/>
  <c r="I19" i="5"/>
  <c r="O19" i="5" s="1"/>
  <c r="H19" i="5"/>
  <c r="N19" i="5" s="1"/>
  <c r="J18" i="5"/>
  <c r="I18" i="5"/>
  <c r="O18" i="5" s="1"/>
  <c r="H18" i="5"/>
  <c r="N18" i="5" s="1"/>
  <c r="J17" i="5"/>
  <c r="I17" i="5"/>
  <c r="O17" i="5" s="1"/>
  <c r="H17" i="5"/>
  <c r="N17" i="5" s="1"/>
  <c r="J16" i="5"/>
  <c r="P16" i="5" s="1"/>
  <c r="I16" i="5"/>
  <c r="O16" i="5" s="1"/>
  <c r="H16" i="5"/>
  <c r="N16" i="5" s="1"/>
  <c r="J15" i="5"/>
  <c r="P15" i="5" s="1"/>
  <c r="I15" i="5"/>
  <c r="O15" i="5" s="1"/>
  <c r="H15" i="5"/>
  <c r="N15" i="5" s="1"/>
  <c r="J14" i="5"/>
  <c r="I14" i="5"/>
  <c r="O14" i="5" s="1"/>
  <c r="H14" i="5"/>
  <c r="N14" i="5" s="1"/>
  <c r="J13" i="5"/>
  <c r="P13" i="5" s="1"/>
  <c r="I13" i="5"/>
  <c r="O13" i="5" s="1"/>
  <c r="H13" i="5"/>
  <c r="N13" i="5" s="1"/>
  <c r="J12" i="5"/>
  <c r="P12" i="5" s="1"/>
  <c r="I12" i="5"/>
  <c r="O12" i="5" s="1"/>
  <c r="H12" i="5"/>
  <c r="N12" i="5" s="1"/>
  <c r="J11" i="5"/>
  <c r="P11" i="5" s="1"/>
  <c r="I11" i="5"/>
  <c r="O11" i="5" s="1"/>
  <c r="H11" i="5"/>
  <c r="N11" i="5" s="1"/>
  <c r="J32" i="4"/>
  <c r="I32" i="4"/>
  <c r="O32" i="4" s="1"/>
  <c r="H32" i="4"/>
  <c r="N32" i="4" s="1"/>
  <c r="J31" i="4"/>
  <c r="P31" i="4" s="1"/>
  <c r="I31" i="4"/>
  <c r="O31" i="4" s="1"/>
  <c r="H31" i="4"/>
  <c r="N31" i="4" s="1"/>
  <c r="J30" i="4"/>
  <c r="P30" i="4" s="1"/>
  <c r="I30" i="4"/>
  <c r="O30" i="4" s="1"/>
  <c r="H30" i="4"/>
  <c r="N30" i="4" s="1"/>
  <c r="J29" i="4"/>
  <c r="P29" i="4" s="1"/>
  <c r="I29" i="4"/>
  <c r="O29" i="4" s="1"/>
  <c r="H29" i="4"/>
  <c r="N29" i="4" s="1"/>
  <c r="J28" i="4"/>
  <c r="P28" i="4" s="1"/>
  <c r="I28" i="4"/>
  <c r="O28" i="4" s="1"/>
  <c r="H28" i="4"/>
  <c r="N28" i="4" s="1"/>
  <c r="J27" i="4"/>
  <c r="I27" i="4"/>
  <c r="O27" i="4" s="1"/>
  <c r="H27" i="4"/>
  <c r="N27" i="4" s="1"/>
  <c r="J26" i="4"/>
  <c r="P26" i="4" s="1"/>
  <c r="I26" i="4"/>
  <c r="O26" i="4" s="1"/>
  <c r="H26" i="4"/>
  <c r="N26" i="4" s="1"/>
  <c r="J25" i="4"/>
  <c r="P25" i="4" s="1"/>
  <c r="I25" i="4"/>
  <c r="O25" i="4" s="1"/>
  <c r="H25" i="4"/>
  <c r="N25" i="4" s="1"/>
  <c r="J24" i="4"/>
  <c r="P24" i="4" s="1"/>
  <c r="I24" i="4"/>
  <c r="O24" i="4" s="1"/>
  <c r="H24" i="4"/>
  <c r="N24" i="4" s="1"/>
  <c r="J23" i="4"/>
  <c r="P23" i="4" s="1"/>
  <c r="I23" i="4"/>
  <c r="O23" i="4" s="1"/>
  <c r="H23" i="4"/>
  <c r="N23" i="4" s="1"/>
  <c r="J22" i="4"/>
  <c r="P22" i="4" s="1"/>
  <c r="I22" i="4"/>
  <c r="O22" i="4" s="1"/>
  <c r="H22" i="4"/>
  <c r="N22" i="4" s="1"/>
  <c r="J21" i="4"/>
  <c r="P21" i="4" s="1"/>
  <c r="I21" i="4"/>
  <c r="O21" i="4" s="1"/>
  <c r="H21" i="4"/>
  <c r="N21" i="4" s="1"/>
  <c r="J20" i="4"/>
  <c r="I20" i="4"/>
  <c r="O20" i="4" s="1"/>
  <c r="H20" i="4"/>
  <c r="N20" i="4" s="1"/>
  <c r="J19" i="4"/>
  <c r="P19" i="4" s="1"/>
  <c r="I19" i="4"/>
  <c r="O19" i="4" s="1"/>
  <c r="H19" i="4"/>
  <c r="N19" i="4" s="1"/>
  <c r="J18" i="4"/>
  <c r="P18" i="4" s="1"/>
  <c r="I18" i="4"/>
  <c r="O18" i="4" s="1"/>
  <c r="H18" i="4"/>
  <c r="N18" i="4" s="1"/>
  <c r="J17" i="4"/>
  <c r="P17" i="4" s="1"/>
  <c r="I17" i="4"/>
  <c r="O17" i="4" s="1"/>
  <c r="H17" i="4"/>
  <c r="N17" i="4" s="1"/>
  <c r="J16" i="4"/>
  <c r="P16" i="4" s="1"/>
  <c r="I16" i="4"/>
  <c r="O16" i="4" s="1"/>
  <c r="H16" i="4"/>
  <c r="N16" i="4" s="1"/>
  <c r="J15" i="4"/>
  <c r="P15" i="4" s="1"/>
  <c r="I15" i="4"/>
  <c r="O15" i="4" s="1"/>
  <c r="H15" i="4"/>
  <c r="N15" i="4" s="1"/>
  <c r="J14" i="4"/>
  <c r="P14" i="4" s="1"/>
  <c r="I14" i="4"/>
  <c r="O14" i="4" s="1"/>
  <c r="H14" i="4"/>
  <c r="N14" i="4" s="1"/>
  <c r="J13" i="4"/>
  <c r="I13" i="4"/>
  <c r="O13" i="4" s="1"/>
  <c r="H13" i="4"/>
  <c r="N13" i="4" s="1"/>
  <c r="J12" i="4"/>
  <c r="P12" i="4" s="1"/>
  <c r="I12" i="4"/>
  <c r="O12" i="4" s="1"/>
  <c r="H12" i="4"/>
  <c r="N12" i="4" s="1"/>
  <c r="J11" i="4"/>
  <c r="P11" i="4" s="1"/>
  <c r="I11" i="4"/>
  <c r="H11" i="4"/>
  <c r="J32" i="3"/>
  <c r="P32" i="3" s="1"/>
  <c r="I32" i="3"/>
  <c r="O32" i="3" s="1"/>
  <c r="H32" i="3"/>
  <c r="N32" i="3" s="1"/>
  <c r="J31" i="3"/>
  <c r="I31" i="3"/>
  <c r="O31" i="3" s="1"/>
  <c r="H31" i="3"/>
  <c r="N31" i="3" s="1"/>
  <c r="J30" i="3"/>
  <c r="P30" i="3" s="1"/>
  <c r="I30" i="3"/>
  <c r="O30" i="3" s="1"/>
  <c r="H30" i="3"/>
  <c r="N30" i="3" s="1"/>
  <c r="J29" i="3"/>
  <c r="P29" i="3" s="1"/>
  <c r="I29" i="3"/>
  <c r="O29" i="3" s="1"/>
  <c r="H29" i="3"/>
  <c r="N29" i="3" s="1"/>
  <c r="J28" i="3"/>
  <c r="P28" i="3" s="1"/>
  <c r="I28" i="3"/>
  <c r="O28" i="3" s="1"/>
  <c r="H28" i="3"/>
  <c r="N28" i="3" s="1"/>
  <c r="J27" i="3"/>
  <c r="P27" i="3" s="1"/>
  <c r="I27" i="3"/>
  <c r="O27" i="3" s="1"/>
  <c r="H27" i="3"/>
  <c r="N27" i="3" s="1"/>
  <c r="J26" i="3"/>
  <c r="P26" i="3" s="1"/>
  <c r="I26" i="3"/>
  <c r="O26" i="3" s="1"/>
  <c r="H26" i="3"/>
  <c r="N26" i="3" s="1"/>
  <c r="J25" i="3"/>
  <c r="P25" i="3" s="1"/>
  <c r="I25" i="3"/>
  <c r="O25" i="3" s="1"/>
  <c r="H25" i="3"/>
  <c r="N25" i="3" s="1"/>
  <c r="J24" i="3"/>
  <c r="I24" i="3"/>
  <c r="O24" i="3" s="1"/>
  <c r="H24" i="3"/>
  <c r="N24" i="3" s="1"/>
  <c r="J23" i="3"/>
  <c r="P23" i="3" s="1"/>
  <c r="I23" i="3"/>
  <c r="O23" i="3" s="1"/>
  <c r="H23" i="3"/>
  <c r="N23" i="3" s="1"/>
  <c r="J22" i="3"/>
  <c r="P22" i="3" s="1"/>
  <c r="I22" i="3"/>
  <c r="O22" i="3" s="1"/>
  <c r="H22" i="3"/>
  <c r="N22" i="3" s="1"/>
  <c r="J21" i="3"/>
  <c r="P21" i="3" s="1"/>
  <c r="I21" i="3"/>
  <c r="O21" i="3" s="1"/>
  <c r="H21" i="3"/>
  <c r="N21" i="3" s="1"/>
  <c r="J20" i="3"/>
  <c r="P20" i="3" s="1"/>
  <c r="I20" i="3"/>
  <c r="O20" i="3" s="1"/>
  <c r="H20" i="3"/>
  <c r="N20" i="3" s="1"/>
  <c r="J19" i="3"/>
  <c r="P19" i="3" s="1"/>
  <c r="I19" i="3"/>
  <c r="O19" i="3" s="1"/>
  <c r="H19" i="3"/>
  <c r="N19" i="3" s="1"/>
  <c r="J18" i="3"/>
  <c r="P18" i="3" s="1"/>
  <c r="I18" i="3"/>
  <c r="O18" i="3" s="1"/>
  <c r="H18" i="3"/>
  <c r="N18" i="3" s="1"/>
  <c r="J17" i="3"/>
  <c r="I17" i="3"/>
  <c r="O17" i="3" s="1"/>
  <c r="H17" i="3"/>
  <c r="N17" i="3" s="1"/>
  <c r="J16" i="3"/>
  <c r="P16" i="3" s="1"/>
  <c r="I16" i="3"/>
  <c r="O16" i="3" s="1"/>
  <c r="H16" i="3"/>
  <c r="N16" i="3" s="1"/>
  <c r="J15" i="3"/>
  <c r="I15" i="3"/>
  <c r="O15" i="3" s="1"/>
  <c r="H15" i="3"/>
  <c r="N15" i="3" s="1"/>
  <c r="J14" i="3"/>
  <c r="P14" i="3" s="1"/>
  <c r="I14" i="3"/>
  <c r="O14" i="3" s="1"/>
  <c r="H14" i="3"/>
  <c r="N14" i="3" s="1"/>
  <c r="J13" i="3"/>
  <c r="P13" i="3" s="1"/>
  <c r="I13" i="3"/>
  <c r="O13" i="3" s="1"/>
  <c r="H13" i="3"/>
  <c r="N13" i="3" s="1"/>
  <c r="J12" i="3"/>
  <c r="P12" i="3" s="1"/>
  <c r="I12" i="3"/>
  <c r="O12" i="3" s="1"/>
  <c r="H12" i="3"/>
  <c r="N12" i="3" s="1"/>
  <c r="O11" i="3"/>
  <c r="P22" i="27" l="1"/>
  <c r="P19" i="25"/>
  <c r="P11" i="27"/>
  <c r="P27" i="23"/>
  <c r="P12" i="27"/>
  <c r="P18" i="27"/>
  <c r="G33" i="17"/>
  <c r="E33" i="4"/>
  <c r="H33" i="4"/>
  <c r="AB9" i="28" s="1"/>
  <c r="P16" i="24"/>
  <c r="P25" i="27"/>
  <c r="P13" i="23"/>
  <c r="P23" i="24"/>
  <c r="P22" i="26"/>
  <c r="F33" i="6"/>
  <c r="H33" i="14"/>
  <c r="AB19" i="28" s="1"/>
  <c r="E33" i="5"/>
  <c r="F33" i="11"/>
  <c r="E33" i="12"/>
  <c r="F33" i="14"/>
  <c r="G33" i="11"/>
  <c r="P12" i="25"/>
  <c r="P26" i="25"/>
  <c r="P15" i="26"/>
  <c r="N11" i="12"/>
  <c r="P26" i="27"/>
  <c r="P29" i="26"/>
  <c r="E33" i="24"/>
  <c r="G32" i="28"/>
  <c r="G33" i="21"/>
  <c r="E33" i="9"/>
  <c r="P30" i="24"/>
  <c r="G33" i="13"/>
  <c r="P20" i="23"/>
  <c r="E33" i="7"/>
  <c r="H33" i="10"/>
  <c r="AB15" i="28" s="1"/>
  <c r="G33" i="26"/>
  <c r="P19" i="27"/>
  <c r="F33" i="7"/>
  <c r="G33" i="3"/>
  <c r="P11" i="3"/>
  <c r="E33" i="3"/>
  <c r="N11" i="3"/>
  <c r="AA9" i="28"/>
  <c r="F29" i="29"/>
  <c r="F33" i="5"/>
  <c r="H17" i="29"/>
  <c r="O11" i="28"/>
  <c r="I9" i="29"/>
  <c r="G12" i="28"/>
  <c r="I26" i="29"/>
  <c r="X12" i="28"/>
  <c r="I13" i="28"/>
  <c r="J11" i="29"/>
  <c r="J21" i="29"/>
  <c r="S13" i="28"/>
  <c r="J26" i="29"/>
  <c r="X13" i="28"/>
  <c r="E11" i="30"/>
  <c r="I14" i="28"/>
  <c r="E16" i="30"/>
  <c r="N14" i="28"/>
  <c r="K15" i="28"/>
  <c r="F13" i="30"/>
  <c r="E33" i="11"/>
  <c r="H10" i="30"/>
  <c r="H17" i="28"/>
  <c r="E33" i="13"/>
  <c r="U19" i="28"/>
  <c r="J23" i="30"/>
  <c r="G11" i="31"/>
  <c r="I22" i="28"/>
  <c r="I26" i="31"/>
  <c r="X24" i="28"/>
  <c r="G25" i="28"/>
  <c r="J9" i="31"/>
  <c r="P12" i="20"/>
  <c r="F33" i="3"/>
  <c r="G15" i="29"/>
  <c r="M10" i="28"/>
  <c r="P18" i="5"/>
  <c r="E9" i="29"/>
  <c r="G8" i="28"/>
  <c r="N8" i="28"/>
  <c r="E16" i="29"/>
  <c r="U8" i="28"/>
  <c r="E23" i="29"/>
  <c r="F12" i="29"/>
  <c r="J9" i="28"/>
  <c r="F19" i="29"/>
  <c r="Q9" i="28"/>
  <c r="F26" i="29"/>
  <c r="X9" i="28"/>
  <c r="F10" i="28"/>
  <c r="G8" i="29"/>
  <c r="R10" i="28"/>
  <c r="G20" i="29"/>
  <c r="G25" i="29"/>
  <c r="W10" i="28"/>
  <c r="G33" i="5"/>
  <c r="H22" i="29"/>
  <c r="T11" i="28"/>
  <c r="H27" i="29"/>
  <c r="Y11" i="28"/>
  <c r="I14" i="29"/>
  <c r="L12" i="28"/>
  <c r="P17" i="7"/>
  <c r="F28" i="30"/>
  <c r="Z15" i="28"/>
  <c r="G20" i="30"/>
  <c r="R16" i="28"/>
  <c r="H33" i="11"/>
  <c r="AB16" i="28" s="1"/>
  <c r="H15" i="30"/>
  <c r="M17" i="28"/>
  <c r="H20" i="30"/>
  <c r="R17" i="28"/>
  <c r="P23" i="12"/>
  <c r="W17" i="28"/>
  <c r="H25" i="30"/>
  <c r="F33" i="12"/>
  <c r="I15" i="30"/>
  <c r="M18" i="28"/>
  <c r="F33" i="13"/>
  <c r="E29" i="31"/>
  <c r="AA20" i="28"/>
  <c r="F20" i="31"/>
  <c r="R21" i="28"/>
  <c r="P23" i="16"/>
  <c r="E33" i="17"/>
  <c r="G14" i="31"/>
  <c r="L22" i="28"/>
  <c r="Q22" i="28"/>
  <c r="G19" i="31"/>
  <c r="J23" i="28"/>
  <c r="H12" i="31"/>
  <c r="H23" i="31"/>
  <c r="U23" i="28"/>
  <c r="J15" i="31"/>
  <c r="M25" i="28"/>
  <c r="P18" i="20"/>
  <c r="G9" i="32"/>
  <c r="G28" i="28"/>
  <c r="P12" i="23"/>
  <c r="N12" i="24"/>
  <c r="H18" i="32"/>
  <c r="P29" i="28"/>
  <c r="P21" i="24"/>
  <c r="H33" i="5"/>
  <c r="AB10" i="28" s="1"/>
  <c r="H10" i="29"/>
  <c r="H11" i="28"/>
  <c r="Q12" i="28"/>
  <c r="I19" i="29"/>
  <c r="V12" i="28"/>
  <c r="I24" i="29"/>
  <c r="I29" i="29"/>
  <c r="AA12" i="28"/>
  <c r="S14" i="28"/>
  <c r="E21" i="30"/>
  <c r="P24" i="9"/>
  <c r="F11" i="30"/>
  <c r="I15" i="28"/>
  <c r="F23" i="30"/>
  <c r="U15" i="28"/>
  <c r="G8" i="30"/>
  <c r="F16" i="28"/>
  <c r="H33" i="12"/>
  <c r="AB17" i="28" s="1"/>
  <c r="I20" i="30"/>
  <c r="R18" i="28"/>
  <c r="H19" i="28"/>
  <c r="J10" i="30"/>
  <c r="J18" i="30"/>
  <c r="P19" i="28"/>
  <c r="L20" i="28"/>
  <c r="E14" i="31"/>
  <c r="E19" i="31"/>
  <c r="Q20" i="28"/>
  <c r="E24" i="31"/>
  <c r="V20" i="28"/>
  <c r="H15" i="31"/>
  <c r="M23" i="28"/>
  <c r="P24" i="28"/>
  <c r="I18" i="31"/>
  <c r="P21" i="19"/>
  <c r="I29" i="31"/>
  <c r="AA24" i="28"/>
  <c r="E17" i="32"/>
  <c r="O26" i="28"/>
  <c r="P20" i="21"/>
  <c r="E23" i="32"/>
  <c r="U26" i="28"/>
  <c r="P26" i="21"/>
  <c r="H33" i="3"/>
  <c r="AB8" i="28" s="1"/>
  <c r="E14" i="29"/>
  <c r="L8" i="28"/>
  <c r="E21" i="29"/>
  <c r="S8" i="28"/>
  <c r="Z8" i="28"/>
  <c r="E28" i="29"/>
  <c r="F10" i="29"/>
  <c r="H9" i="28"/>
  <c r="F17" i="29"/>
  <c r="O9" i="28"/>
  <c r="F24" i="29"/>
  <c r="V9" i="28"/>
  <c r="G13" i="29"/>
  <c r="K10" i="28"/>
  <c r="G18" i="29"/>
  <c r="P10" i="28"/>
  <c r="G23" i="29"/>
  <c r="U10" i="28"/>
  <c r="H33" i="6"/>
  <c r="AB11" i="28" s="1"/>
  <c r="H15" i="29"/>
  <c r="M11" i="28"/>
  <c r="P20" i="6"/>
  <c r="R11" i="28"/>
  <c r="H20" i="29"/>
  <c r="E33" i="6"/>
  <c r="P12" i="7"/>
  <c r="J9" i="29"/>
  <c r="G13" i="28"/>
  <c r="J14" i="29"/>
  <c r="L13" i="28"/>
  <c r="J19" i="29"/>
  <c r="Q13" i="28"/>
  <c r="P24" i="8"/>
  <c r="J24" i="29"/>
  <c r="V13" i="28"/>
  <c r="P29" i="8"/>
  <c r="J29" i="29"/>
  <c r="AA13" i="28"/>
  <c r="E9" i="30"/>
  <c r="G14" i="28"/>
  <c r="P12" i="9"/>
  <c r="P14" i="9"/>
  <c r="P19" i="9"/>
  <c r="K16" i="28"/>
  <c r="G13" i="30"/>
  <c r="G23" i="30"/>
  <c r="U16" i="28"/>
  <c r="G28" i="30"/>
  <c r="Z16" i="28"/>
  <c r="W18" i="28"/>
  <c r="I25" i="30"/>
  <c r="H33" i="13"/>
  <c r="AB18" i="28" s="1"/>
  <c r="J26" i="30"/>
  <c r="X19" i="28"/>
  <c r="P29" i="14"/>
  <c r="F15" i="31"/>
  <c r="M21" i="28"/>
  <c r="P18" i="16"/>
  <c r="F29" i="31"/>
  <c r="AA21" i="28"/>
  <c r="G9" i="31"/>
  <c r="G22" i="28"/>
  <c r="F33" i="17"/>
  <c r="H10" i="31"/>
  <c r="H23" i="28"/>
  <c r="E33" i="21"/>
  <c r="W11" i="28"/>
  <c r="H25" i="29"/>
  <c r="P28" i="6"/>
  <c r="J12" i="28"/>
  <c r="I12" i="29"/>
  <c r="I17" i="29"/>
  <c r="O12" i="28"/>
  <c r="L14" i="28"/>
  <c r="E14" i="30"/>
  <c r="E24" i="30"/>
  <c r="V14" i="28"/>
  <c r="E29" i="30"/>
  <c r="AA14" i="28"/>
  <c r="F16" i="30"/>
  <c r="N15" i="28"/>
  <c r="S15" i="28"/>
  <c r="F21" i="30"/>
  <c r="F26" i="30"/>
  <c r="X15" i="28"/>
  <c r="H8" i="30"/>
  <c r="F17" i="28"/>
  <c r="G33" i="12"/>
  <c r="P11" i="12"/>
  <c r="K17" i="28"/>
  <c r="H13" i="30"/>
  <c r="H18" i="30"/>
  <c r="P17" i="28"/>
  <c r="H23" i="30"/>
  <c r="U17" i="28"/>
  <c r="I8" i="30"/>
  <c r="F18" i="28"/>
  <c r="I13" i="30"/>
  <c r="K18" i="28"/>
  <c r="F10" i="31"/>
  <c r="H21" i="28"/>
  <c r="P13" i="16"/>
  <c r="H26" i="31"/>
  <c r="X23" i="28"/>
  <c r="P29" i="18"/>
  <c r="H33" i="18"/>
  <c r="AB23" i="28" s="1"/>
  <c r="I13" i="31"/>
  <c r="K24" i="28"/>
  <c r="I24" i="31"/>
  <c r="V24" i="28"/>
  <c r="K27" i="28"/>
  <c r="F13" i="32"/>
  <c r="P16" i="22"/>
  <c r="F19" i="32"/>
  <c r="Q27" i="28"/>
  <c r="P22" i="22"/>
  <c r="G16" i="30"/>
  <c r="N16" i="28"/>
  <c r="P18" i="28"/>
  <c r="I18" i="30"/>
  <c r="I23" i="30"/>
  <c r="U18" i="28"/>
  <c r="J21" i="30"/>
  <c r="S19" i="28"/>
  <c r="P24" i="14"/>
  <c r="T20" i="28"/>
  <c r="E22" i="31"/>
  <c r="E27" i="31"/>
  <c r="Y20" i="28"/>
  <c r="F33" i="15"/>
  <c r="H33" i="17"/>
  <c r="AB22" i="28" s="1"/>
  <c r="H33" i="19"/>
  <c r="AB24" i="28" s="1"/>
  <c r="E33" i="19"/>
  <c r="J26" i="28"/>
  <c r="E12" i="32"/>
  <c r="P15" i="21"/>
  <c r="E18" i="32"/>
  <c r="P26" i="28"/>
  <c r="P21" i="21"/>
  <c r="E33" i="22"/>
  <c r="I26" i="32"/>
  <c r="X30" i="28"/>
  <c r="P29" i="25"/>
  <c r="H8" i="29"/>
  <c r="F11" i="28"/>
  <c r="H13" i="29"/>
  <c r="K11" i="28"/>
  <c r="G33" i="6"/>
  <c r="P17" i="3"/>
  <c r="P24" i="3"/>
  <c r="P31" i="3"/>
  <c r="N11" i="4"/>
  <c r="P13" i="4"/>
  <c r="P20" i="4"/>
  <c r="P27" i="4"/>
  <c r="P21" i="5"/>
  <c r="S10" i="28"/>
  <c r="G21" i="29"/>
  <c r="P26" i="5"/>
  <c r="P18" i="6"/>
  <c r="P17" i="8"/>
  <c r="O13" i="28"/>
  <c r="J17" i="29"/>
  <c r="P22" i="8"/>
  <c r="J22" i="29"/>
  <c r="T13" i="28"/>
  <c r="P25" i="8"/>
  <c r="J27" i="29"/>
  <c r="Y13" i="28"/>
  <c r="P32" i="8"/>
  <c r="E17" i="30"/>
  <c r="O14" i="28"/>
  <c r="E22" i="30"/>
  <c r="T14" i="28"/>
  <c r="F14" i="30"/>
  <c r="L15" i="28"/>
  <c r="S16" i="28"/>
  <c r="G21" i="30"/>
  <c r="P24" i="11"/>
  <c r="P26" i="11"/>
  <c r="P31" i="11"/>
  <c r="P16" i="12"/>
  <c r="P21" i="12"/>
  <c r="P26" i="12"/>
  <c r="X17" i="28"/>
  <c r="H26" i="30"/>
  <c r="P28" i="13"/>
  <c r="I28" i="30"/>
  <c r="Z18" i="28"/>
  <c r="J16" i="30"/>
  <c r="N19" i="28"/>
  <c r="O24" i="14"/>
  <c r="E17" i="31"/>
  <c r="O20" i="28"/>
  <c r="H33" i="15"/>
  <c r="AB20" i="28" s="1"/>
  <c r="F24" i="31"/>
  <c r="V21" i="28"/>
  <c r="P32" i="16"/>
  <c r="P12" i="17"/>
  <c r="J22" i="28"/>
  <c r="G12" i="31"/>
  <c r="P15" i="17"/>
  <c r="G25" i="31"/>
  <c r="W22" i="28"/>
  <c r="E33" i="18"/>
  <c r="P13" i="18"/>
  <c r="H21" i="31"/>
  <c r="S23" i="28"/>
  <c r="P24" i="18"/>
  <c r="F33" i="19"/>
  <c r="Q24" i="28"/>
  <c r="I19" i="31"/>
  <c r="I27" i="31"/>
  <c r="Y24" i="28"/>
  <c r="P30" i="19"/>
  <c r="O12" i="21"/>
  <c r="F33" i="21"/>
  <c r="G28" i="29"/>
  <c r="Z10" i="28"/>
  <c r="I22" i="29"/>
  <c r="T12" i="28"/>
  <c r="E12" i="29"/>
  <c r="J8" i="28"/>
  <c r="E19" i="29"/>
  <c r="Q8" i="28"/>
  <c r="F8" i="29"/>
  <c r="F9" i="28"/>
  <c r="M9" i="28"/>
  <c r="F15" i="29"/>
  <c r="G11" i="29"/>
  <c r="I10" i="28"/>
  <c r="G16" i="29"/>
  <c r="N10" i="28"/>
  <c r="I27" i="29"/>
  <c r="Y12" i="28"/>
  <c r="J12" i="29"/>
  <c r="J13" i="28"/>
  <c r="P17" i="9"/>
  <c r="F9" i="30"/>
  <c r="G15" i="28"/>
  <c r="N11" i="6"/>
  <c r="H18" i="29"/>
  <c r="P11" i="28"/>
  <c r="P21" i="6"/>
  <c r="P23" i="6"/>
  <c r="I10" i="29"/>
  <c r="H12" i="28"/>
  <c r="P15" i="7"/>
  <c r="I15" i="29"/>
  <c r="M12" i="28"/>
  <c r="P12" i="8"/>
  <c r="P27" i="8"/>
  <c r="E10" i="29"/>
  <c r="H8" i="28"/>
  <c r="E17" i="29"/>
  <c r="O8" i="28"/>
  <c r="E24" i="29"/>
  <c r="V8" i="28"/>
  <c r="O11" i="4"/>
  <c r="F13" i="29"/>
  <c r="K9" i="28"/>
  <c r="R9" i="28"/>
  <c r="F20" i="29"/>
  <c r="F27" i="29"/>
  <c r="Y9" i="28"/>
  <c r="G9" i="29"/>
  <c r="G10" i="28"/>
  <c r="G26" i="29"/>
  <c r="X10" i="28"/>
  <c r="P31" i="5"/>
  <c r="O11" i="6"/>
  <c r="H23" i="29"/>
  <c r="U11" i="28"/>
  <c r="H28" i="29"/>
  <c r="Z11" i="28"/>
  <c r="P20" i="7"/>
  <c r="I20" i="29"/>
  <c r="R12" i="28"/>
  <c r="P25" i="7"/>
  <c r="F33" i="8"/>
  <c r="N15" i="9"/>
  <c r="P27" i="9"/>
  <c r="E27" i="30"/>
  <c r="Y14" i="28"/>
  <c r="P32" i="9"/>
  <c r="P19" i="10"/>
  <c r="F19" i="30"/>
  <c r="Q15" i="28"/>
  <c r="P24" i="10"/>
  <c r="P29" i="10"/>
  <c r="X16" i="28"/>
  <c r="G26" i="30"/>
  <c r="H16" i="30"/>
  <c r="N17" i="28"/>
  <c r="P11" i="13"/>
  <c r="P16" i="13"/>
  <c r="I16" i="30"/>
  <c r="N18" i="28"/>
  <c r="N11" i="14"/>
  <c r="J11" i="30"/>
  <c r="I19" i="28"/>
  <c r="P14" i="14"/>
  <c r="E33" i="14"/>
  <c r="E12" i="31"/>
  <c r="J20" i="28"/>
  <c r="P30" i="15"/>
  <c r="H33" i="16"/>
  <c r="AB21" i="28" s="1"/>
  <c r="N11" i="16"/>
  <c r="F16" i="31"/>
  <c r="N21" i="28"/>
  <c r="F27" i="31"/>
  <c r="Y21" i="28"/>
  <c r="P30" i="16"/>
  <c r="E33" i="16"/>
  <c r="O11" i="18"/>
  <c r="F33" i="18"/>
  <c r="H16" i="31"/>
  <c r="N23" i="28"/>
  <c r="P19" i="18"/>
  <c r="I8" i="31"/>
  <c r="F24" i="28"/>
  <c r="G33" i="19"/>
  <c r="P16" i="19"/>
  <c r="P27" i="19"/>
  <c r="F33" i="20"/>
  <c r="E9" i="32"/>
  <c r="G26" i="28"/>
  <c r="P14" i="5"/>
  <c r="P11" i="6"/>
  <c r="I11" i="28"/>
  <c r="H11" i="29"/>
  <c r="P14" i="6"/>
  <c r="P16" i="6"/>
  <c r="I8" i="29"/>
  <c r="F12" i="28"/>
  <c r="W12" i="28"/>
  <c r="I25" i="29"/>
  <c r="P30" i="7"/>
  <c r="G33" i="7"/>
  <c r="P15" i="8"/>
  <c r="H33" i="8"/>
  <c r="AB13" i="28" s="1"/>
  <c r="E10" i="30"/>
  <c r="H14" i="28"/>
  <c r="E15" i="30"/>
  <c r="M14" i="28"/>
  <c r="P12" i="10"/>
  <c r="F12" i="30"/>
  <c r="J15" i="28"/>
  <c r="F24" i="30"/>
  <c r="V15" i="28"/>
  <c r="G9" i="30"/>
  <c r="G16" i="28"/>
  <c r="P12" i="11"/>
  <c r="G14" i="30"/>
  <c r="L16" i="28"/>
  <c r="P19" i="11"/>
  <c r="I11" i="30"/>
  <c r="I18" i="28"/>
  <c r="I21" i="30"/>
  <c r="S18" i="28"/>
  <c r="J19" i="30"/>
  <c r="Q19" i="28"/>
  <c r="M20" i="28"/>
  <c r="E15" i="31"/>
  <c r="E20" i="31"/>
  <c r="R20" i="28"/>
  <c r="F33" i="16"/>
  <c r="G28" i="31"/>
  <c r="Z22" i="28"/>
  <c r="H8" i="31"/>
  <c r="F23" i="28"/>
  <c r="G33" i="18"/>
  <c r="J25" i="31"/>
  <c r="W25" i="28"/>
  <c r="E26" i="29"/>
  <c r="X8" i="28"/>
  <c r="F8" i="28"/>
  <c r="E8" i="29"/>
  <c r="M8" i="28"/>
  <c r="E15" i="29"/>
  <c r="E22" i="29"/>
  <c r="T8" i="28"/>
  <c r="AA8" i="28"/>
  <c r="E29" i="29"/>
  <c r="F11" i="29"/>
  <c r="I9" i="28"/>
  <c r="F18" i="29"/>
  <c r="P9" i="28"/>
  <c r="F25" i="29"/>
  <c r="W9" i="28"/>
  <c r="Q10" i="28"/>
  <c r="G19" i="29"/>
  <c r="G24" i="29"/>
  <c r="V10" i="28"/>
  <c r="H16" i="29"/>
  <c r="N11" i="28"/>
  <c r="H21" i="29"/>
  <c r="S11" i="28"/>
  <c r="X11" i="28"/>
  <c r="H26" i="29"/>
  <c r="I13" i="29"/>
  <c r="K12" i="28"/>
  <c r="H33" i="7"/>
  <c r="AB12" i="28" s="1"/>
  <c r="J10" i="29"/>
  <c r="H13" i="28"/>
  <c r="P13" i="8"/>
  <c r="J15" i="29"/>
  <c r="M13" i="28"/>
  <c r="P20" i="8"/>
  <c r="J20" i="29"/>
  <c r="R13" i="28"/>
  <c r="J25" i="29"/>
  <c r="W13" i="28"/>
  <c r="P20" i="9"/>
  <c r="P25" i="9"/>
  <c r="F33" i="9"/>
  <c r="P17" i="10"/>
  <c r="G24" i="30"/>
  <c r="V16" i="28"/>
  <c r="P29" i="11"/>
  <c r="G29" i="30"/>
  <c r="AA16" i="28"/>
  <c r="H9" i="30"/>
  <c r="G17" i="28"/>
  <c r="P19" i="12"/>
  <c r="H19" i="30"/>
  <c r="Q17" i="28"/>
  <c r="H24" i="30"/>
  <c r="V17" i="28"/>
  <c r="P29" i="12"/>
  <c r="G33" i="14"/>
  <c r="P20" i="15"/>
  <c r="F11" i="31"/>
  <c r="I21" i="28"/>
  <c r="P19" i="16"/>
  <c r="F22" i="31"/>
  <c r="T21" i="28"/>
  <c r="P27" i="16"/>
  <c r="G13" i="31"/>
  <c r="K22" i="28"/>
  <c r="G18" i="31"/>
  <c r="P22" i="28"/>
  <c r="G23" i="31"/>
  <c r="U22" i="28"/>
  <c r="P28" i="17"/>
  <c r="N11" i="18"/>
  <c r="O11" i="19"/>
  <c r="I11" i="31"/>
  <c r="I24" i="28"/>
  <c r="P14" i="19"/>
  <c r="P22" i="19"/>
  <c r="F33" i="23"/>
  <c r="O11" i="23"/>
  <c r="O29" i="24"/>
  <c r="F33" i="24"/>
  <c r="F33" i="4"/>
  <c r="G29" i="29"/>
  <c r="AA10" i="28"/>
  <c r="P32" i="5"/>
  <c r="I18" i="29"/>
  <c r="P12" i="28"/>
  <c r="I23" i="29"/>
  <c r="U12" i="28"/>
  <c r="E33" i="8"/>
  <c r="N11" i="8"/>
  <c r="E20" i="30"/>
  <c r="R14" i="28"/>
  <c r="E25" i="30"/>
  <c r="W14" i="28"/>
  <c r="G33" i="9"/>
  <c r="F17" i="30"/>
  <c r="O15" i="28"/>
  <c r="P27" i="10"/>
  <c r="F27" i="30"/>
  <c r="Y15" i="28"/>
  <c r="P30" i="10"/>
  <c r="P17" i="11"/>
  <c r="H29" i="30"/>
  <c r="AA17" i="28"/>
  <c r="I9" i="30"/>
  <c r="G18" i="28"/>
  <c r="I14" i="30"/>
  <c r="L18" i="28"/>
  <c r="P24" i="13"/>
  <c r="J14" i="30"/>
  <c r="L19" i="28"/>
  <c r="P22" i="14"/>
  <c r="E10" i="31"/>
  <c r="H20" i="28"/>
  <c r="P23" i="15"/>
  <c r="P11" i="18"/>
  <c r="H22" i="31"/>
  <c r="T23" i="28"/>
  <c r="J20" i="31"/>
  <c r="R25" i="28"/>
  <c r="J28" i="31"/>
  <c r="Z25" i="28"/>
  <c r="P31" i="20"/>
  <c r="F21" i="32"/>
  <c r="S27" i="28"/>
  <c r="P24" i="22"/>
  <c r="P32" i="4"/>
  <c r="G14" i="29"/>
  <c r="L10" i="28"/>
  <c r="P19" i="5"/>
  <c r="E13" i="29"/>
  <c r="K8" i="28"/>
  <c r="E20" i="29"/>
  <c r="R8" i="28"/>
  <c r="E27" i="29"/>
  <c r="Y8" i="28"/>
  <c r="F9" i="29"/>
  <c r="G9" i="28"/>
  <c r="F16" i="29"/>
  <c r="N9" i="28"/>
  <c r="F23" i="29"/>
  <c r="U9" i="28"/>
  <c r="G33" i="4"/>
  <c r="G12" i="29"/>
  <c r="J10" i="28"/>
  <c r="P17" i="5"/>
  <c r="G17" i="29"/>
  <c r="O10" i="28"/>
  <c r="H9" i="29"/>
  <c r="G11" i="28"/>
  <c r="H14" i="29"/>
  <c r="L11" i="28"/>
  <c r="P19" i="6"/>
  <c r="Q11" i="28"/>
  <c r="H19" i="29"/>
  <c r="P11" i="7"/>
  <c r="P28" i="7"/>
  <c r="I28" i="29"/>
  <c r="Z12" i="28"/>
  <c r="P31" i="7"/>
  <c r="J28" i="29"/>
  <c r="Z13" i="28"/>
  <c r="E8" i="30"/>
  <c r="F14" i="28"/>
  <c r="P13" i="9"/>
  <c r="P18" i="9"/>
  <c r="H33" i="9"/>
  <c r="AB14" i="28" s="1"/>
  <c r="F10" i="30"/>
  <c r="H15" i="28"/>
  <c r="P15" i="10"/>
  <c r="E33" i="10"/>
  <c r="G12" i="30"/>
  <c r="J16" i="28"/>
  <c r="G17" i="30"/>
  <c r="O16" i="28"/>
  <c r="G22" i="30"/>
  <c r="T16" i="28"/>
  <c r="P14" i="13"/>
  <c r="I29" i="30"/>
  <c r="AA18" i="28"/>
  <c r="P32" i="13"/>
  <c r="O19" i="28"/>
  <c r="J17" i="30"/>
  <c r="J25" i="30"/>
  <c r="W19" i="28"/>
  <c r="E33" i="15"/>
  <c r="P18" i="15"/>
  <c r="P31" i="17"/>
  <c r="H28" i="31"/>
  <c r="Z23" i="28"/>
  <c r="J11" i="31"/>
  <c r="I25" i="28"/>
  <c r="U25" i="28"/>
  <c r="J23" i="31"/>
  <c r="P26" i="20"/>
  <c r="P28" i="20"/>
  <c r="H8" i="32"/>
  <c r="F29" i="28"/>
  <c r="P11" i="24"/>
  <c r="G33" i="24"/>
  <c r="P15" i="3"/>
  <c r="G22" i="29"/>
  <c r="T10" i="28"/>
  <c r="P25" i="5"/>
  <c r="H24" i="29"/>
  <c r="V11" i="28"/>
  <c r="I16" i="29"/>
  <c r="N12" i="28"/>
  <c r="J8" i="29"/>
  <c r="F13" i="28"/>
  <c r="G33" i="8"/>
  <c r="J18" i="29"/>
  <c r="P13" i="28"/>
  <c r="E13" i="30"/>
  <c r="K14" i="28"/>
  <c r="E18" i="30"/>
  <c r="P14" i="28"/>
  <c r="E23" i="30"/>
  <c r="U14" i="28"/>
  <c r="F17" i="31"/>
  <c r="O21" i="28"/>
  <c r="F25" i="31"/>
  <c r="W21" i="28"/>
  <c r="P28" i="16"/>
  <c r="G26" i="31"/>
  <c r="X22" i="28"/>
  <c r="H17" i="31"/>
  <c r="O23" i="28"/>
  <c r="E33" i="20"/>
  <c r="J14" i="31"/>
  <c r="L25" i="28"/>
  <c r="P17" i="20"/>
  <c r="F15" i="32"/>
  <c r="M27" i="28"/>
  <c r="P18" i="22"/>
  <c r="F22" i="29"/>
  <c r="T9" i="28"/>
  <c r="I12" i="28"/>
  <c r="I11" i="29"/>
  <c r="P20" i="10"/>
  <c r="G33" i="10"/>
  <c r="Y16" i="28"/>
  <c r="G27" i="30"/>
  <c r="H12" i="30"/>
  <c r="J17" i="28"/>
  <c r="H17" i="30"/>
  <c r="O17" i="28"/>
  <c r="H22" i="30"/>
  <c r="T17" i="28"/>
  <c r="H27" i="30"/>
  <c r="Y17" i="28"/>
  <c r="J12" i="30"/>
  <c r="J19" i="28"/>
  <c r="G21" i="31"/>
  <c r="S22" i="28"/>
  <c r="E11" i="29"/>
  <c r="I8" i="28"/>
  <c r="E18" i="29"/>
  <c r="P8" i="28"/>
  <c r="E25" i="29"/>
  <c r="W8" i="28"/>
  <c r="F14" i="29"/>
  <c r="L9" i="28"/>
  <c r="F21" i="29"/>
  <c r="S9" i="28"/>
  <c r="Z9" i="28"/>
  <c r="F28" i="29"/>
  <c r="G10" i="29"/>
  <c r="H10" i="28"/>
  <c r="Y10" i="28"/>
  <c r="G27" i="29"/>
  <c r="P12" i="6"/>
  <c r="J11" i="28"/>
  <c r="H12" i="29"/>
  <c r="H29" i="29"/>
  <c r="AA11" i="28"/>
  <c r="P21" i="7"/>
  <c r="I21" i="29"/>
  <c r="S12" i="28"/>
  <c r="P24" i="7"/>
  <c r="P26" i="7"/>
  <c r="P23" i="9"/>
  <c r="P28" i="9"/>
  <c r="E28" i="30"/>
  <c r="Z14" i="28"/>
  <c r="F33" i="10"/>
  <c r="O11" i="10"/>
  <c r="P13" i="10"/>
  <c r="F20" i="30"/>
  <c r="R15" i="28"/>
  <c r="F25" i="30"/>
  <c r="W15" i="28"/>
  <c r="G10" i="30"/>
  <c r="H16" i="28"/>
  <c r="G15" i="30"/>
  <c r="M16" i="28"/>
  <c r="P32" i="12"/>
  <c r="P12" i="13"/>
  <c r="I22" i="30"/>
  <c r="T18" i="28"/>
  <c r="P20" i="14"/>
  <c r="J28" i="30"/>
  <c r="Z19" i="28"/>
  <c r="P31" i="14"/>
  <c r="F20" i="28"/>
  <c r="E8" i="31"/>
  <c r="G33" i="15"/>
  <c r="P13" i="15"/>
  <c r="E13" i="31"/>
  <c r="K20" i="28"/>
  <c r="P16" i="15"/>
  <c r="E26" i="31"/>
  <c r="X20" i="28"/>
  <c r="F9" i="31"/>
  <c r="G21" i="28"/>
  <c r="G16" i="31"/>
  <c r="N22" i="28"/>
  <c r="H9" i="31"/>
  <c r="G23" i="28"/>
  <c r="P12" i="18"/>
  <c r="P23" i="20"/>
  <c r="J29" i="31"/>
  <c r="AA25" i="28"/>
  <c r="P32" i="20"/>
  <c r="N12" i="23"/>
  <c r="E33" i="23"/>
  <c r="V29" i="28"/>
  <c r="H24" i="32"/>
  <c r="P27" i="24"/>
  <c r="N31" i="28"/>
  <c r="J16" i="32"/>
  <c r="P19" i="26"/>
  <c r="W31" i="28"/>
  <c r="J25" i="32"/>
  <c r="P28" i="26"/>
  <c r="V26" i="28"/>
  <c r="E24" i="32"/>
  <c r="P27" i="21"/>
  <c r="F22" i="32"/>
  <c r="T27" i="28"/>
  <c r="P25" i="22"/>
  <c r="F28" i="32"/>
  <c r="Z27" i="28"/>
  <c r="P31" i="22"/>
  <c r="G18" i="32"/>
  <c r="P21" i="23"/>
  <c r="P28" i="28"/>
  <c r="H9" i="32"/>
  <c r="G29" i="28"/>
  <c r="P12" i="24"/>
  <c r="H30" i="28"/>
  <c r="P13" i="25"/>
  <c r="I10" i="32"/>
  <c r="G19" i="28"/>
  <c r="J9" i="30"/>
  <c r="Z20" i="28"/>
  <c r="E28" i="31"/>
  <c r="F8" i="31"/>
  <c r="F21" i="28"/>
  <c r="G33" i="16"/>
  <c r="G27" i="31"/>
  <c r="Y22" i="28"/>
  <c r="H14" i="31"/>
  <c r="L23" i="28"/>
  <c r="J24" i="28"/>
  <c r="I12" i="31"/>
  <c r="O24" i="28"/>
  <c r="I17" i="31"/>
  <c r="I22" i="31"/>
  <c r="T24" i="28"/>
  <c r="J18" i="31"/>
  <c r="P25" i="28"/>
  <c r="E19" i="32"/>
  <c r="Q26" i="28"/>
  <c r="P22" i="21"/>
  <c r="E25" i="32"/>
  <c r="W26" i="28"/>
  <c r="P28" i="21"/>
  <c r="H33" i="22"/>
  <c r="AB27" i="28" s="1"/>
  <c r="F33" i="22"/>
  <c r="G19" i="32"/>
  <c r="Q28" i="28"/>
  <c r="P22" i="23"/>
  <c r="Z28" i="28"/>
  <c r="G28" i="32"/>
  <c r="P31" i="23"/>
  <c r="I14" i="32"/>
  <c r="L30" i="28"/>
  <c r="P17" i="25"/>
  <c r="H33" i="26"/>
  <c r="AB31" i="28" s="1"/>
  <c r="N11" i="26"/>
  <c r="E33" i="26"/>
  <c r="K21" i="28"/>
  <c r="F13" i="31"/>
  <c r="F18" i="31"/>
  <c r="P21" i="28"/>
  <c r="H19" i="31"/>
  <c r="Q23" i="28"/>
  <c r="H24" i="31"/>
  <c r="V23" i="28"/>
  <c r="H29" i="31"/>
  <c r="AA23" i="28"/>
  <c r="P32" i="18"/>
  <c r="H26" i="28"/>
  <c r="E10" i="32"/>
  <c r="P13" i="21"/>
  <c r="F8" i="32"/>
  <c r="F27" i="28"/>
  <c r="G33" i="22"/>
  <c r="P11" i="22"/>
  <c r="F14" i="32"/>
  <c r="L27" i="28"/>
  <c r="P17" i="22"/>
  <c r="G13" i="32"/>
  <c r="K28" i="28"/>
  <c r="P16" i="23"/>
  <c r="F33" i="26"/>
  <c r="O11" i="26"/>
  <c r="J17" i="32"/>
  <c r="O31" i="28"/>
  <c r="P20" i="26"/>
  <c r="J13" i="29"/>
  <c r="K13" i="28"/>
  <c r="F18" i="30"/>
  <c r="P15" i="28"/>
  <c r="G19" i="30"/>
  <c r="Q16" i="28"/>
  <c r="H11" i="30"/>
  <c r="I17" i="28"/>
  <c r="I27" i="30"/>
  <c r="Y18" i="28"/>
  <c r="J24" i="30"/>
  <c r="V19" i="28"/>
  <c r="E21" i="31"/>
  <c r="S20" i="28"/>
  <c r="F23" i="31"/>
  <c r="U21" i="28"/>
  <c r="G20" i="31"/>
  <c r="R22" i="28"/>
  <c r="I20" i="31"/>
  <c r="R24" i="28"/>
  <c r="I25" i="31"/>
  <c r="W24" i="28"/>
  <c r="P28" i="19"/>
  <c r="J13" i="31"/>
  <c r="K25" i="28"/>
  <c r="S25" i="28"/>
  <c r="J21" i="31"/>
  <c r="P24" i="20"/>
  <c r="E16" i="32"/>
  <c r="N26" i="28"/>
  <c r="F29" i="32"/>
  <c r="AA27" i="28"/>
  <c r="P32" i="22"/>
  <c r="N28" i="28"/>
  <c r="G16" i="32"/>
  <c r="J8" i="32"/>
  <c r="F31" i="28"/>
  <c r="P11" i="26"/>
  <c r="I31" i="28"/>
  <c r="J11" i="32"/>
  <c r="J14" i="32"/>
  <c r="L31" i="28"/>
  <c r="P17" i="26"/>
  <c r="E33" i="27"/>
  <c r="K20" i="32"/>
  <c r="R32" i="28"/>
  <c r="P23" i="27"/>
  <c r="J8" i="31"/>
  <c r="F25" i="28"/>
  <c r="J16" i="31"/>
  <c r="N25" i="28"/>
  <c r="P19" i="20"/>
  <c r="G33" i="20"/>
  <c r="F20" i="32"/>
  <c r="R27" i="28"/>
  <c r="P23" i="22"/>
  <c r="F33" i="27"/>
  <c r="K11" i="32"/>
  <c r="I32" i="28"/>
  <c r="P14" i="27"/>
  <c r="I10" i="31"/>
  <c r="H24" i="28"/>
  <c r="I15" i="31"/>
  <c r="M24" i="28"/>
  <c r="J27" i="31"/>
  <c r="Y25" i="28"/>
  <c r="H33" i="20"/>
  <c r="AB25" i="28" s="1"/>
  <c r="I26" i="28"/>
  <c r="E11" i="32"/>
  <c r="P14" i="21"/>
  <c r="F26" i="32"/>
  <c r="X27" i="28"/>
  <c r="I18" i="32"/>
  <c r="P30" i="28"/>
  <c r="P21" i="25"/>
  <c r="P14" i="26"/>
  <c r="J22" i="31"/>
  <c r="T25" i="28"/>
  <c r="N11" i="21"/>
  <c r="H33" i="21"/>
  <c r="AB26" i="28" s="1"/>
  <c r="E26" i="32"/>
  <c r="X26" i="28"/>
  <c r="P29" i="21"/>
  <c r="H33" i="23"/>
  <c r="AB28" i="28" s="1"/>
  <c r="L28" i="28"/>
  <c r="G14" i="32"/>
  <c r="P17" i="23"/>
  <c r="G29" i="32"/>
  <c r="AA28" i="28"/>
  <c r="P32" i="23"/>
  <c r="Q29" i="28"/>
  <c r="H19" i="32"/>
  <c r="P22" i="24"/>
  <c r="I15" i="32"/>
  <c r="M30" i="28"/>
  <c r="P18" i="25"/>
  <c r="G31" i="28"/>
  <c r="J9" i="32"/>
  <c r="P12" i="26"/>
  <c r="V31" i="28"/>
  <c r="J24" i="32"/>
  <c r="P27" i="26"/>
  <c r="J21" i="32"/>
  <c r="P24" i="26"/>
  <c r="S31" i="28"/>
  <c r="G8" i="32"/>
  <c r="F28" i="28"/>
  <c r="G33" i="23"/>
  <c r="G11" i="32"/>
  <c r="I28" i="28"/>
  <c r="P14" i="23"/>
  <c r="G23" i="32"/>
  <c r="U28" i="28"/>
  <c r="P26" i="23"/>
  <c r="H33" i="24"/>
  <c r="AB29" i="28" s="1"/>
  <c r="N11" i="24"/>
  <c r="F33" i="25"/>
  <c r="O12" i="25"/>
  <c r="I25" i="32"/>
  <c r="P28" i="25"/>
  <c r="W30" i="28"/>
  <c r="S32" i="28"/>
  <c r="K21" i="32"/>
  <c r="P24" i="27"/>
  <c r="F12" i="32"/>
  <c r="J27" i="28"/>
  <c r="Y27" i="28"/>
  <c r="F27" i="32"/>
  <c r="P30" i="22"/>
  <c r="H11" i="32"/>
  <c r="I29" i="28"/>
  <c r="H14" i="32"/>
  <c r="P17" i="24"/>
  <c r="L29" i="28"/>
  <c r="T30" i="28"/>
  <c r="I22" i="32"/>
  <c r="P25" i="25"/>
  <c r="H26" i="32"/>
  <c r="X29" i="28"/>
  <c r="I12" i="32"/>
  <c r="J30" i="28"/>
  <c r="R30" i="28"/>
  <c r="I20" i="32"/>
  <c r="I28" i="32"/>
  <c r="Z30" i="28"/>
  <c r="K10" i="32"/>
  <c r="P13" i="27"/>
  <c r="H32" i="28"/>
  <c r="K18" i="32"/>
  <c r="P32" i="28"/>
  <c r="E14" i="32"/>
  <c r="L26" i="28"/>
  <c r="E21" i="32"/>
  <c r="S26" i="28"/>
  <c r="E28" i="32"/>
  <c r="Z26" i="28"/>
  <c r="F10" i="32"/>
  <c r="H27" i="28"/>
  <c r="F17" i="32"/>
  <c r="O27" i="28"/>
  <c r="F24" i="32"/>
  <c r="V27" i="28"/>
  <c r="S28" i="28"/>
  <c r="G21" i="32"/>
  <c r="G26" i="32"/>
  <c r="X28" i="28"/>
  <c r="H16" i="32"/>
  <c r="N29" i="28"/>
  <c r="H21" i="32"/>
  <c r="S29" i="28"/>
  <c r="P24" i="24"/>
  <c r="H29" i="32"/>
  <c r="P32" i="24"/>
  <c r="AA29" i="28"/>
  <c r="J22" i="32"/>
  <c r="T31" i="28"/>
  <c r="N11" i="27"/>
  <c r="H33" i="27"/>
  <c r="AB32" i="28" s="1"/>
  <c r="K32" i="28"/>
  <c r="K13" i="32"/>
  <c r="J28" i="32"/>
  <c r="P31" i="26"/>
  <c r="Z31" i="28"/>
  <c r="K24" i="32"/>
  <c r="P27" i="27"/>
  <c r="V32" i="28"/>
  <c r="G27" i="32"/>
  <c r="Y28" i="28"/>
  <c r="H22" i="32"/>
  <c r="P25" i="24"/>
  <c r="T29" i="28"/>
  <c r="K30" i="28"/>
  <c r="I13" i="32"/>
  <c r="S30" i="28"/>
  <c r="I21" i="32"/>
  <c r="I29" i="32"/>
  <c r="AA30" i="28"/>
  <c r="U31" i="28"/>
  <c r="J23" i="32"/>
  <c r="J18" i="28"/>
  <c r="I12" i="30"/>
  <c r="Q18" i="28"/>
  <c r="I19" i="30"/>
  <c r="X18" i="28"/>
  <c r="I26" i="30"/>
  <c r="J8" i="30"/>
  <c r="F19" i="28"/>
  <c r="J15" i="30"/>
  <c r="M19" i="28"/>
  <c r="J22" i="30"/>
  <c r="T19" i="28"/>
  <c r="J29" i="30"/>
  <c r="AA19" i="28"/>
  <c r="E11" i="31"/>
  <c r="I20" i="28"/>
  <c r="P20" i="28"/>
  <c r="E18" i="31"/>
  <c r="E25" i="31"/>
  <c r="W20" i="28"/>
  <c r="L21" i="28"/>
  <c r="F14" i="31"/>
  <c r="S21" i="28"/>
  <c r="F21" i="31"/>
  <c r="Z21" i="28"/>
  <c r="F28" i="31"/>
  <c r="G10" i="31"/>
  <c r="H22" i="28"/>
  <c r="G17" i="31"/>
  <c r="O22" i="28"/>
  <c r="G24" i="31"/>
  <c r="V22" i="28"/>
  <c r="K23" i="28"/>
  <c r="H13" i="31"/>
  <c r="H20" i="31"/>
  <c r="R23" i="28"/>
  <c r="Y23" i="28"/>
  <c r="H27" i="31"/>
  <c r="I9" i="31"/>
  <c r="G24" i="28"/>
  <c r="N24" i="28"/>
  <c r="I16" i="31"/>
  <c r="I23" i="31"/>
  <c r="U24" i="28"/>
  <c r="J12" i="31"/>
  <c r="J25" i="28"/>
  <c r="Q25" i="28"/>
  <c r="J19" i="31"/>
  <c r="J26" i="31"/>
  <c r="X25" i="28"/>
  <c r="F26" i="28"/>
  <c r="E8" i="32"/>
  <c r="E15" i="32"/>
  <c r="M26" i="28"/>
  <c r="T26" i="28"/>
  <c r="E22" i="32"/>
  <c r="E29" i="32"/>
  <c r="AA26" i="28"/>
  <c r="I27" i="28"/>
  <c r="F11" i="32"/>
  <c r="P27" i="28"/>
  <c r="F18" i="32"/>
  <c r="W27" i="28"/>
  <c r="F25" i="32"/>
  <c r="G12" i="32"/>
  <c r="J28" i="28"/>
  <c r="G22" i="32"/>
  <c r="T28" i="28"/>
  <c r="O29" i="28"/>
  <c r="H17" i="32"/>
  <c r="H33" i="25"/>
  <c r="AB30" i="28" s="1"/>
  <c r="N11" i="25"/>
  <c r="J15" i="32"/>
  <c r="M31" i="28"/>
  <c r="L32" i="28"/>
  <c r="K14" i="32"/>
  <c r="H12" i="32"/>
  <c r="J29" i="28"/>
  <c r="H25" i="32"/>
  <c r="W29" i="28"/>
  <c r="Y30" i="28"/>
  <c r="I27" i="32"/>
  <c r="N13" i="28"/>
  <c r="J16" i="29"/>
  <c r="U13" i="28"/>
  <c r="J23" i="29"/>
  <c r="E12" i="30"/>
  <c r="J14" i="28"/>
  <c r="E19" i="30"/>
  <c r="Q14" i="28"/>
  <c r="E26" i="30"/>
  <c r="X14" i="28"/>
  <c r="F8" i="30"/>
  <c r="F15" i="28"/>
  <c r="F15" i="30"/>
  <c r="M15" i="28"/>
  <c r="T15" i="28"/>
  <c r="F22" i="30"/>
  <c r="F29" i="30"/>
  <c r="AA15" i="28"/>
  <c r="G11" i="30"/>
  <c r="I16" i="28"/>
  <c r="G18" i="30"/>
  <c r="P16" i="28"/>
  <c r="G25" i="30"/>
  <c r="W16" i="28"/>
  <c r="H14" i="30"/>
  <c r="L17" i="28"/>
  <c r="H21" i="30"/>
  <c r="S17" i="28"/>
  <c r="H28" i="30"/>
  <c r="Z17" i="28"/>
  <c r="I10" i="30"/>
  <c r="H18" i="28"/>
  <c r="O18" i="28"/>
  <c r="I17" i="30"/>
  <c r="I24" i="30"/>
  <c r="V18" i="28"/>
  <c r="J13" i="30"/>
  <c r="K19" i="28"/>
  <c r="J20" i="30"/>
  <c r="R19" i="28"/>
  <c r="J27" i="30"/>
  <c r="Y19" i="28"/>
  <c r="G20" i="28"/>
  <c r="E9" i="31"/>
  <c r="E16" i="31"/>
  <c r="N20" i="28"/>
  <c r="U20" i="28"/>
  <c r="E23" i="31"/>
  <c r="F12" i="31"/>
  <c r="J21" i="28"/>
  <c r="F19" i="31"/>
  <c r="Q21" i="28"/>
  <c r="F26" i="31"/>
  <c r="X21" i="28"/>
  <c r="G8" i="31"/>
  <c r="F22" i="28"/>
  <c r="G15" i="31"/>
  <c r="M22" i="28"/>
  <c r="G22" i="31"/>
  <c r="T22" i="28"/>
  <c r="G29" i="31"/>
  <c r="AA22" i="28"/>
  <c r="H11" i="31"/>
  <c r="I23" i="28"/>
  <c r="H18" i="31"/>
  <c r="P23" i="28"/>
  <c r="H25" i="31"/>
  <c r="W23" i="28"/>
  <c r="I14" i="31"/>
  <c r="L24" i="28"/>
  <c r="I21" i="31"/>
  <c r="S24" i="28"/>
  <c r="I28" i="31"/>
  <c r="Z24" i="28"/>
  <c r="H25" i="28"/>
  <c r="J10" i="31"/>
  <c r="O25" i="28"/>
  <c r="J17" i="31"/>
  <c r="V25" i="28"/>
  <c r="J24" i="31"/>
  <c r="E13" i="32"/>
  <c r="K26" i="28"/>
  <c r="E20" i="32"/>
  <c r="R26" i="28"/>
  <c r="E27" i="32"/>
  <c r="Y26" i="28"/>
  <c r="F9" i="32"/>
  <c r="G27" i="28"/>
  <c r="F16" i="32"/>
  <c r="N27" i="28"/>
  <c r="F23" i="32"/>
  <c r="U27" i="28"/>
  <c r="P15" i="23"/>
  <c r="G20" i="32"/>
  <c r="R28" i="28"/>
  <c r="P30" i="23"/>
  <c r="F30" i="28"/>
  <c r="I8" i="32"/>
  <c r="G33" i="25"/>
  <c r="P16" i="25"/>
  <c r="I19" i="32"/>
  <c r="Q30" i="28"/>
  <c r="P24" i="25"/>
  <c r="E33" i="25"/>
  <c r="P18" i="26"/>
  <c r="P26" i="26"/>
  <c r="J29" i="32"/>
  <c r="AA31" i="28"/>
  <c r="J32" i="28"/>
  <c r="K12" i="32"/>
  <c r="K25" i="32"/>
  <c r="W32" i="28"/>
  <c r="G15" i="32"/>
  <c r="M28" i="28"/>
  <c r="G25" i="32"/>
  <c r="W28" i="28"/>
  <c r="P28" i="23"/>
  <c r="H29" i="28"/>
  <c r="H10" i="32"/>
  <c r="H15" i="32"/>
  <c r="M29" i="28"/>
  <c r="H23" i="32"/>
  <c r="U29" i="28"/>
  <c r="H28" i="32"/>
  <c r="P31" i="24"/>
  <c r="Z29" i="28"/>
  <c r="I11" i="32"/>
  <c r="P14" i="25"/>
  <c r="I30" i="28"/>
  <c r="H31" i="28"/>
  <c r="J10" i="32"/>
  <c r="J18" i="32"/>
  <c r="P31" i="28"/>
  <c r="K17" i="32"/>
  <c r="P20" i="27"/>
  <c r="O32" i="28"/>
  <c r="I16" i="32"/>
  <c r="U30" i="28"/>
  <c r="G33" i="27"/>
  <c r="K29" i="28"/>
  <c r="V30" i="28"/>
  <c r="K16" i="32"/>
  <c r="G24" i="32"/>
  <c r="Q31" i="28"/>
  <c r="M32" i="28"/>
  <c r="G17" i="32"/>
  <c r="Z32" i="28"/>
  <c r="K28" i="32"/>
  <c r="R31" i="28"/>
  <c r="I24" i="32"/>
  <c r="P20" i="25"/>
  <c r="P16" i="26"/>
  <c r="P23" i="26"/>
  <c r="P30" i="26"/>
  <c r="G30" i="28"/>
  <c r="J12" i="32"/>
  <c r="X32" i="28"/>
  <c r="K26" i="32"/>
  <c r="P31" i="27"/>
  <c r="R29" i="28"/>
  <c r="X31" i="28"/>
  <c r="T32" i="28"/>
  <c r="H28" i="28"/>
  <c r="Y31" i="28"/>
  <c r="U32" i="28"/>
  <c r="K8" i="32"/>
  <c r="J13" i="32"/>
  <c r="K19" i="32"/>
  <c r="H27" i="32"/>
  <c r="AA32" i="28"/>
  <c r="Y32" i="28"/>
  <c r="K27" i="32"/>
  <c r="O30" i="28"/>
  <c r="P32" i="27"/>
  <c r="L21" i="32" l="1"/>
  <c r="O21" i="32" s="1"/>
  <c r="K23" i="31"/>
  <c r="N23" i="31" s="1"/>
  <c r="AA34" i="28"/>
  <c r="K13" i="31"/>
  <c r="N13" i="31" s="1"/>
  <c r="L20" i="32"/>
  <c r="O20" i="32" s="1"/>
  <c r="K26" i="30"/>
  <c r="N26" i="30" s="1"/>
  <c r="T37" i="28"/>
  <c r="K25" i="31"/>
  <c r="N25" i="31" s="1"/>
  <c r="S36" i="28"/>
  <c r="U35" i="28"/>
  <c r="K27" i="29"/>
  <c r="N27" i="29" s="1"/>
  <c r="Q35" i="28"/>
  <c r="K23" i="30"/>
  <c r="N23" i="30" s="1"/>
  <c r="K19" i="30"/>
  <c r="N19" i="30" s="1"/>
  <c r="K20" i="29"/>
  <c r="N20" i="29" s="1"/>
  <c r="X34" i="28"/>
  <c r="G36" i="28"/>
  <c r="J35" i="28"/>
  <c r="I36" i="28"/>
  <c r="S37" i="28"/>
  <c r="W34" i="28"/>
  <c r="K15" i="29"/>
  <c r="N15" i="29" s="1"/>
  <c r="Z37" i="28"/>
  <c r="K18" i="31"/>
  <c r="N18" i="31" s="1"/>
  <c r="F30" i="31"/>
  <c r="K25" i="29"/>
  <c r="N25" i="29" s="1"/>
  <c r="R34" i="28"/>
  <c r="R35" i="28"/>
  <c r="G37" i="28"/>
  <c r="K24" i="29"/>
  <c r="N24" i="29" s="1"/>
  <c r="K22" i="30"/>
  <c r="N22" i="30" s="1"/>
  <c r="K14" i="30"/>
  <c r="N14" i="30" s="1"/>
  <c r="Z34" i="28"/>
  <c r="K16" i="29"/>
  <c r="N16" i="29" s="1"/>
  <c r="L27" i="32"/>
  <c r="O27" i="32" s="1"/>
  <c r="G30" i="32"/>
  <c r="J30" i="32"/>
  <c r="U36" i="28"/>
  <c r="K12" i="30"/>
  <c r="N12" i="30" s="1"/>
  <c r="P36" i="28"/>
  <c r="J30" i="31"/>
  <c r="K28" i="31"/>
  <c r="N28" i="31" s="1"/>
  <c r="P34" i="28"/>
  <c r="P35" i="28"/>
  <c r="K20" i="30"/>
  <c r="N20" i="30" s="1"/>
  <c r="T34" i="28"/>
  <c r="L9" i="32"/>
  <c r="O9" i="32" s="1"/>
  <c r="Y35" i="28"/>
  <c r="O34" i="28"/>
  <c r="O35" i="28"/>
  <c r="H30" i="29"/>
  <c r="L35" i="28"/>
  <c r="S34" i="28"/>
  <c r="N34" i="28"/>
  <c r="L15" i="32"/>
  <c r="O15" i="32" s="1"/>
  <c r="N36" i="28"/>
  <c r="AA37" i="28"/>
  <c r="Z36" i="28"/>
  <c r="K18" i="29"/>
  <c r="N18" i="29" s="1"/>
  <c r="K18" i="30"/>
  <c r="N18" i="30" s="1"/>
  <c r="K34" i="28"/>
  <c r="K22" i="29"/>
  <c r="N22" i="29" s="1"/>
  <c r="K27" i="30"/>
  <c r="N27" i="30" s="1"/>
  <c r="K17" i="29"/>
  <c r="N17" i="29" s="1"/>
  <c r="K17" i="30"/>
  <c r="N17" i="30" s="1"/>
  <c r="Y36" i="28"/>
  <c r="K21" i="29"/>
  <c r="N21" i="29" s="1"/>
  <c r="AA36" i="28"/>
  <c r="G34" i="28"/>
  <c r="K16" i="31"/>
  <c r="N16" i="31" s="1"/>
  <c r="L29" i="32"/>
  <c r="O29" i="32" s="1"/>
  <c r="K11" i="31"/>
  <c r="N11" i="31" s="1"/>
  <c r="X36" i="28"/>
  <c r="Z35" i="28"/>
  <c r="I34" i="28"/>
  <c r="K35" i="28"/>
  <c r="K13" i="29"/>
  <c r="N13" i="29" s="1"/>
  <c r="R36" i="28"/>
  <c r="H34" i="28"/>
  <c r="F30" i="29"/>
  <c r="K27" i="31"/>
  <c r="N27" i="31" s="1"/>
  <c r="H30" i="30"/>
  <c r="L34" i="28"/>
  <c r="K29" i="31"/>
  <c r="N29" i="31" s="1"/>
  <c r="K9" i="29"/>
  <c r="N9" i="29" s="1"/>
  <c r="Y37" i="28"/>
  <c r="K9" i="31"/>
  <c r="N9" i="31" s="1"/>
  <c r="L22" i="32"/>
  <c r="O22" i="32" s="1"/>
  <c r="K26" i="31"/>
  <c r="N26" i="31" s="1"/>
  <c r="K28" i="30"/>
  <c r="N28" i="30" s="1"/>
  <c r="K11" i="29"/>
  <c r="N11" i="29" s="1"/>
  <c r="K13" i="30"/>
  <c r="N13" i="30" s="1"/>
  <c r="M34" i="28"/>
  <c r="K20" i="31"/>
  <c r="N20" i="31" s="1"/>
  <c r="K10" i="29"/>
  <c r="N10" i="29" s="1"/>
  <c r="Q34" i="28"/>
  <c r="K22" i="31"/>
  <c r="N22" i="31" s="1"/>
  <c r="K14" i="29"/>
  <c r="N14" i="29" s="1"/>
  <c r="G30" i="29"/>
  <c r="N37" i="28"/>
  <c r="E30" i="29"/>
  <c r="K8" i="29"/>
  <c r="N8" i="29" s="1"/>
  <c r="K15" i="31"/>
  <c r="N15" i="31" s="1"/>
  <c r="K19" i="29"/>
  <c r="N19" i="29" s="1"/>
  <c r="T36" i="28"/>
  <c r="V36" i="28"/>
  <c r="G30" i="30"/>
  <c r="I30" i="32"/>
  <c r="R37" i="28"/>
  <c r="M37" i="28"/>
  <c r="L28" i="32"/>
  <c r="O28" i="32" s="1"/>
  <c r="L16" i="32"/>
  <c r="O16" i="32" s="1"/>
  <c r="K36" i="28"/>
  <c r="H36" i="28"/>
  <c r="F34" i="28"/>
  <c r="M36" i="28"/>
  <c r="J34" i="28"/>
  <c r="K24" i="31"/>
  <c r="N24" i="31" s="1"/>
  <c r="F30" i="32"/>
  <c r="L24" i="32"/>
  <c r="O24" i="32" s="1"/>
  <c r="H30" i="32"/>
  <c r="K10" i="31"/>
  <c r="N10" i="31" s="1"/>
  <c r="I30" i="29"/>
  <c r="I30" i="31"/>
  <c r="K12" i="29"/>
  <c r="N12" i="29" s="1"/>
  <c r="O36" i="28"/>
  <c r="P37" i="28"/>
  <c r="I30" i="30"/>
  <c r="G35" i="28"/>
  <c r="U37" i="28"/>
  <c r="Q36" i="28"/>
  <c r="K30" i="32"/>
  <c r="L11" i="32"/>
  <c r="O11" i="32" s="1"/>
  <c r="K21" i="31"/>
  <c r="N21" i="31" s="1"/>
  <c r="K26" i="29"/>
  <c r="N26" i="29" s="1"/>
  <c r="J36" i="28"/>
  <c r="K17" i="31"/>
  <c r="N17" i="31" s="1"/>
  <c r="L18" i="32"/>
  <c r="O18" i="32" s="1"/>
  <c r="K9" i="30"/>
  <c r="N9" i="30" s="1"/>
  <c r="L23" i="32"/>
  <c r="O23" i="32" s="1"/>
  <c r="K19" i="31"/>
  <c r="N19" i="31" s="1"/>
  <c r="K37" i="28"/>
  <c r="E30" i="32"/>
  <c r="L8" i="32"/>
  <c r="O8" i="32" s="1"/>
  <c r="V37" i="28"/>
  <c r="L13" i="32"/>
  <c r="O13" i="32" s="1"/>
  <c r="F30" i="30"/>
  <c r="F37" i="28"/>
  <c r="L37" i="28"/>
  <c r="X37" i="28"/>
  <c r="I37" i="28"/>
  <c r="L10" i="32"/>
  <c r="O10" i="32" s="1"/>
  <c r="W37" i="28"/>
  <c r="J30" i="29"/>
  <c r="K12" i="31"/>
  <c r="N12" i="31" s="1"/>
  <c r="K14" i="31"/>
  <c r="N14" i="31" s="1"/>
  <c r="N35" i="28"/>
  <c r="X35" i="28"/>
  <c r="L14" i="32"/>
  <c r="O14" i="32" s="1"/>
  <c r="L26" i="32"/>
  <c r="O26" i="32" s="1"/>
  <c r="H37" i="28"/>
  <c r="L25" i="32"/>
  <c r="O25" i="32" s="1"/>
  <c r="E30" i="31"/>
  <c r="K8" i="31"/>
  <c r="N8" i="31" s="1"/>
  <c r="M35" i="28"/>
  <c r="L12" i="32"/>
  <c r="O12" i="32" s="1"/>
  <c r="AA35" i="28"/>
  <c r="O37" i="28"/>
  <c r="L36" i="28"/>
  <c r="K16" i="30"/>
  <c r="N16" i="30" s="1"/>
  <c r="F36" i="28"/>
  <c r="K15" i="30"/>
  <c r="N15" i="30" s="1"/>
  <c r="J37" i="28"/>
  <c r="K29" i="30"/>
  <c r="N29" i="30" s="1"/>
  <c r="L17" i="32"/>
  <c r="O17" i="32" s="1"/>
  <c r="K21" i="30"/>
  <c r="N21" i="30" s="1"/>
  <c r="I35" i="28"/>
  <c r="J30" i="30"/>
  <c r="W36" i="28"/>
  <c r="Q37" i="28"/>
  <c r="F35" i="28"/>
  <c r="Y34" i="28"/>
  <c r="W35" i="28"/>
  <c r="H35" i="28"/>
  <c r="V35" i="28"/>
  <c r="S35" i="28"/>
  <c r="K23" i="29"/>
  <c r="N23" i="29" s="1"/>
  <c r="K11" i="30"/>
  <c r="N11" i="30" s="1"/>
  <c r="G30" i="31"/>
  <c r="L19" i="32"/>
  <c r="O19" i="32" s="1"/>
  <c r="E30" i="30"/>
  <c r="K8" i="30"/>
  <c r="N8" i="30" s="1"/>
  <c r="K25" i="30"/>
  <c r="N25" i="30" s="1"/>
  <c r="K29" i="29"/>
  <c r="N29" i="29" s="1"/>
  <c r="H30" i="31"/>
  <c r="K10" i="30"/>
  <c r="N10" i="30" s="1"/>
  <c r="V34" i="28"/>
  <c r="T35" i="28"/>
  <c r="K24" i="30"/>
  <c r="N24" i="30" s="1"/>
  <c r="K28" i="29"/>
  <c r="N28" i="29" s="1"/>
  <c r="U34" i="28"/>
</calcChain>
</file>

<file path=xl/sharedStrings.xml><?xml version="1.0" encoding="utf-8"?>
<sst xmlns="http://schemas.openxmlformats.org/spreadsheetml/2006/main" count="3823" uniqueCount="348">
  <si>
    <t>SE</t>
  </si>
  <si>
    <t>Schneider Electric</t>
  </si>
  <si>
    <t>APEX TOP 25  ·  Strategic Account Manager Assessment Tool</t>
  </si>
  <si>
    <t xml:space="preserve">  SCORING FRAMEWORK</t>
  </si>
  <si>
    <t xml:space="preserve">  L1 – Developing</t>
  </si>
  <si>
    <t xml:space="preserve">  Behaviours absent or very inconsistent — significant development needed</t>
  </si>
  <si>
    <t xml:space="preserve">  L2 – Proficient</t>
  </si>
  <si>
    <t xml:space="preserve">  Consistently demonstrated — meets the required level for this account</t>
  </si>
  <si>
    <t xml:space="preserve">  L3 – Advanced</t>
  </si>
  <si>
    <t xml:space="preserve">  Benchmark quality — role model and reference for other APEX AMs</t>
  </si>
  <si>
    <t xml:space="preserve">  THREE ASSESSMENT LENSES</t>
  </si>
  <si>
    <t xml:space="preserve">  SELF</t>
  </si>
  <si>
    <t xml:space="preserve">  Account Manager self-assessment — honest reflection of own capability level</t>
  </si>
  <si>
    <t xml:space="preserve">  MANAGER</t>
  </si>
  <si>
    <t xml:space="preserve">  Line manager assessment — direct observation and performance evidence</t>
  </si>
  <si>
    <t xml:space="preserve">  APEX PANEL</t>
  </si>
  <si>
    <t xml:space="preserve">  Unbiased panel — Global Account Managers &amp; Global Segment Leaders</t>
  </si>
  <si>
    <t>Account Name</t>
  </si>
  <si>
    <t>Zone</t>
  </si>
  <si>
    <t>Track</t>
  </si>
  <si>
    <t>Account Manager 1</t>
  </si>
  <si>
    <t>Account 1</t>
  </si>
  <si>
    <t>MEA</t>
  </si>
  <si>
    <t>Acquisition</t>
  </si>
  <si>
    <t>Account Manager 2</t>
  </si>
  <si>
    <t>Account 2</t>
  </si>
  <si>
    <t>Saturation</t>
  </si>
  <si>
    <t>Account Manager 3</t>
  </si>
  <si>
    <t>Account 3</t>
  </si>
  <si>
    <t>Account Manager 4</t>
  </si>
  <si>
    <t>Account 4</t>
  </si>
  <si>
    <t>Account Manager 5</t>
  </si>
  <si>
    <t>Account 5</t>
  </si>
  <si>
    <t>Account Manager 6</t>
  </si>
  <si>
    <t>Account 6</t>
  </si>
  <si>
    <t>Account Manager 7</t>
  </si>
  <si>
    <t>Account 7</t>
  </si>
  <si>
    <t>SAM</t>
  </si>
  <si>
    <t>Account Manager 8</t>
  </si>
  <si>
    <t>Account 8</t>
  </si>
  <si>
    <t>Account Manager 9</t>
  </si>
  <si>
    <t>Account 9</t>
  </si>
  <si>
    <t>Account Manager 10</t>
  </si>
  <si>
    <t>Account 10</t>
  </si>
  <si>
    <t>Account Manager 11</t>
  </si>
  <si>
    <t>Account 11</t>
  </si>
  <si>
    <t>Account Manager 12</t>
  </si>
  <si>
    <t>Account 12</t>
  </si>
  <si>
    <t>Account Manager 13</t>
  </si>
  <si>
    <t>Account 13</t>
  </si>
  <si>
    <t>India</t>
  </si>
  <si>
    <t>Account Manager 14</t>
  </si>
  <si>
    <t>Account 14</t>
  </si>
  <si>
    <t>Account Manager 15</t>
  </si>
  <si>
    <t>Account 15</t>
  </si>
  <si>
    <t>Account Manager 16</t>
  </si>
  <si>
    <t>Account 16</t>
  </si>
  <si>
    <t>Account Manager 17</t>
  </si>
  <si>
    <t>Account 17</t>
  </si>
  <si>
    <t>Account Manager 18</t>
  </si>
  <si>
    <t>Account 18</t>
  </si>
  <si>
    <t>Account Manager 19</t>
  </si>
  <si>
    <t>Account 19</t>
  </si>
  <si>
    <t>Pacific</t>
  </si>
  <si>
    <t>Account Manager 20</t>
  </si>
  <si>
    <t>Account 20</t>
  </si>
  <si>
    <t>Account Manager 21</t>
  </si>
  <si>
    <t>Account 21</t>
  </si>
  <si>
    <t>Account Manager 22</t>
  </si>
  <si>
    <t>Account 22</t>
  </si>
  <si>
    <t>Account Manager 23</t>
  </si>
  <si>
    <t>Account 23</t>
  </si>
  <si>
    <t>Account Manager 24</t>
  </si>
  <si>
    <t>Account 24</t>
  </si>
  <si>
    <t>Account Manager 25</t>
  </si>
  <si>
    <t>Account 25</t>
  </si>
  <si>
    <t>CAPABILITY DEFINITIONS  ·  L1 / L2 / L3 Behavioural Anchors</t>
  </si>
  <si>
    <t>Use these definitions to calibrate scores consistently across all three assessment lenses</t>
  </si>
  <si>
    <t>Capability</t>
  </si>
  <si>
    <t>Cluster</t>
  </si>
  <si>
    <t>Src</t>
  </si>
  <si>
    <t>Acq
Req</t>
  </si>
  <si>
    <t>Sat
Req</t>
  </si>
  <si>
    <t>L1 — Developing</t>
  </si>
  <si>
    <t>L2 — Proficient</t>
  </si>
  <si>
    <t>L3 — Advanced</t>
  </si>
  <si>
    <t>Account Management.</t>
  </si>
  <si>
    <t>Account Strategy &amp; Planning</t>
  </si>
  <si>
    <t>L3</t>
  </si>
  <si>
    <t>Drafts or contributes to the account plan but relies on others for overall direction; priorities broad or reactive</t>
  </si>
  <si>
    <t>Leads a coherent Strategic Account Plan with clear priorities linked to ambition and growth plays; runs regular reviews</t>
  </si>
  <si>
    <t>Uses the account plan as a steering tool for the Virtual Team and sponsors; anticipates shifts and proactively repositions</t>
  </si>
  <si>
    <t>Strategic Account Ambition.</t>
  </si>
  <si>
    <t>C</t>
  </si>
  <si>
    <t>L2</t>
  </si>
  <si>
    <t>Describes ambition mainly as 'more business' without clear positioning or focus</t>
  </si>
  <si>
    <t>Defines Schneider's strategic intent, target position, and ambition for the account with a clear narrative</t>
  </si>
  <si>
    <t>Crafts an ambition that galvanizes sponsors and the Virtual Team; uses it to unlock bigger moves</t>
  </si>
  <si>
    <t>Consultative Selling.</t>
  </si>
  <si>
    <t>Commercial &amp; Sales Excellence</t>
  </si>
  <si>
    <t>Leads with products/features; some discovery questions but weak link to business context</t>
  </si>
  <si>
    <t>Anchors discussions in customer priorities and pain points; links offers to clear business outcomes</t>
  </si>
  <si>
    <t>Reframes customer thinking and creates new space for Schneider; recognized as trusted advisor</t>
  </si>
  <si>
    <t>Negotiation.</t>
  </si>
  <si>
    <t>Focuses mainly on price and concessions; reacts to customer demands; escalates quickly</t>
  </si>
  <si>
    <t>Adapts negotiation approach to account context, risk, and strategic importance; prepares options</t>
  </si>
  <si>
    <t>Designs and leads negotiation strategies that strengthen strategic position; helps others prepare</t>
  </si>
  <si>
    <t>Value Creation / Business Case.</t>
  </si>
  <si>
    <t>Talks about benefits in broad terms; business case elements are incomplete or generic</t>
  </si>
  <si>
    <t>Builds solid value arguments with data or credible logic; tailors the case to different stakeholders</t>
  </si>
  <si>
    <t>Uses value logic to reshape scope, structure, or commercial model; reference for strong value cases</t>
  </si>
  <si>
    <t>Customer Relationship Management.</t>
  </si>
  <si>
    <t>Executive &amp; Customer Leadership</t>
  </si>
  <si>
    <t>Has working relationships around active deals but limited depth; depends on others to open doors</t>
  </si>
  <si>
    <t>Maintains a healthy network across functions and levels; spots relationship risks and works to rebalance</t>
  </si>
  <si>
    <t>Is perceived as a trusted interface to Schneider; manages complex stakeholder dynamics constructively</t>
  </si>
  <si>
    <t>Stakeholder Management.</t>
  </si>
  <si>
    <t>Sees stakeholders mainly through deal contacts; mapping incomplete or not kept current</t>
  </si>
  <si>
    <t>Maintains a clear stakeholder map; actively works to align key players around priorities and actions</t>
  </si>
  <si>
    <t>Anticipates shifts in influence and politics; orchestrates alignment across difficult coalitions</t>
  </si>
  <si>
    <t>Influencing Skills.</t>
  </si>
  <si>
    <t>Escalates quickly when facing resistance; tends to push messages rather than adapt</t>
  </si>
  <si>
    <t>Adjusts style to audience; builds coalitions and uses facts, value, and relationships to secure alignment</t>
  </si>
  <si>
    <t>Influences high-stakes decisions with senior stakeholders; regularly unblocks stuck topics</t>
  </si>
  <si>
    <t>Executive Presence</t>
  </si>
  <si>
    <t>Feels less at ease in executive forums; messages can be too detailed or unclear</t>
  </si>
  <si>
    <t>Prepares and delivers clear, concise messages at executive level; represents Schneider confidently</t>
  </si>
  <si>
    <t>Shapes executive conversations and positions Schneider as strategic partner; trusted in C-suite</t>
  </si>
  <si>
    <t>C-Level Engagement.</t>
  </si>
  <si>
    <t>Participates in senior meetings mainly as observer; limited link to customer enterprise agenda</t>
  </si>
  <si>
    <t>Plans and leads targeted C-level interactions connected to account ambition</t>
  </si>
  <si>
    <t>Uses C-level interactions to open new spaces for Schneider and accelerate key decisions</t>
  </si>
  <si>
    <t>Executive Sponsorship Mobilization.</t>
  </si>
  <si>
    <t>Involves sponsors occasionally without clear objectives or preparation</t>
  </si>
  <si>
    <t>Plans sponsor involvement with clear objectives; briefs and debriefs sponsors systematically</t>
  </si>
  <si>
    <t>Strategically sequences sponsor involvement to unlock new plays and de-block issues</t>
  </si>
  <si>
    <t>Product Knowledge.</t>
  </si>
  <si>
    <t>Offer, Segment &amp; Solution Expertise</t>
  </si>
  <si>
    <t>Knows core offers in own area but has gaps on adjacent portfolios</t>
  </si>
  <si>
    <t>Understands the relevant Schneider portfolio and recognises where it fits in the account</t>
  </si>
  <si>
    <t>Anticipates how portfolio evolution and new offers could be used; reference for Top 50 conversations</t>
  </si>
  <si>
    <t>Industry Knowledge.</t>
  </si>
  <si>
    <t>Understands basic sector facts but limited view of trends, drivers, and customer economics</t>
  </si>
  <si>
    <t>Reads the customer's sector context, market dynamics, and business environment</t>
  </si>
  <si>
    <t>Uses industry insight to shape ambition, positioning, and timing; reference point on sector context</t>
  </si>
  <si>
    <t>One-SE Solution Positioning.</t>
  </si>
  <si>
    <t>Positions individual offers well but struggles to connect them into one coherent story</t>
  </si>
  <si>
    <t>Builds clear One-SE propositions that connect multiple offers into one customer story</t>
  </si>
  <si>
    <t>Designs One-SE plays that materially change Schneider's footprint; reference for One-SE positioning</t>
  </si>
  <si>
    <t>Technical &amp; Solution Credibility.</t>
  </si>
  <si>
    <t>Answers basic technical questions but quickly needs to hand over</t>
  </si>
  <si>
    <t>Brings the right technical and solution credibility into customer dialogue and account planning</t>
  </si>
  <si>
    <t>Frames the technical direction with customers and experts; seen as credible counterpart</t>
  </si>
  <si>
    <t>Pipeline Shaping.</t>
  </si>
  <si>
    <t>Acquisition Excellence</t>
  </si>
  <si>
    <t>A</t>
  </si>
  <si>
    <t>—</t>
  </si>
  <si>
    <t>Enters late in opportunity cycle; mainly responds to defined demand and specs</t>
  </si>
  <si>
    <t>Engages early enough to influence customer direction, opportunity framing, and positioning</t>
  </si>
  <si>
    <t>Systematically shapes upstream discussions; changes customer frames, specs, or timing in SE's favour</t>
  </si>
  <si>
    <t>Competitive Positioning.</t>
  </si>
  <si>
    <t>Knows main competitors but focuses on price/features; competitive messages are generic</t>
  </si>
  <si>
    <t>Analyses competitor strengths/weaknesses and sharpens Schneider differentiation in specific pursuits</t>
  </si>
  <si>
    <t>Uses competitor insight to redesign strategy, offers, or deal structure; reference for competitive strategy</t>
  </si>
  <si>
    <t>White-Space Penetration.</t>
  </si>
  <si>
    <t>Sees white space in theory but struggles to translate into concrete targets and actions</t>
  </si>
  <si>
    <t>Identifies and opens areas of the account where Schneider presence or access is limited</t>
  </si>
  <si>
    <t>Systematically expands Schneider's footprint into new domains, sites, or stakeholders</t>
  </si>
  <si>
    <t>Preferred Partner Positioning.</t>
  </si>
  <si>
    <t>Interacts mostly as a supplier on transactions; limited perception as strategic counterpart</t>
  </si>
  <si>
    <t>Builds trust and strategic relevance beyond transactional interactions</t>
  </si>
  <si>
    <t>Achieves clear recognition as preferred partner; brought into early strategic discussions</t>
  </si>
  <si>
    <t>Share of Wallet Expansion.</t>
  </si>
  <si>
    <t>Saturation Excellence</t>
  </si>
  <si>
    <t>S</t>
  </si>
  <si>
    <t>Sees additional opportunities mainly reactively; limited structured view of penetration gaps</t>
  </si>
  <si>
    <t>Broadens Schneider's footprint by identifying and prioritising additional portfolio penetration</t>
  </si>
  <si>
    <t>Uses structured saturation analysis to drive a pipeline of expansion plays</t>
  </si>
  <si>
    <t>Retention &amp; Loss Prevention.</t>
  </si>
  <si>
    <t>Reacts to losses once they are visible; root causes analysed in a limited way</t>
  </si>
  <si>
    <t>Protects existing business by monitoring risk signals and implementing corrective actions</t>
  </si>
  <si>
    <t>Anticipates retention risks early; designs structured retention and recovery strategies</t>
  </si>
  <si>
    <t>Software &amp; Services Attach.</t>
  </si>
  <si>
    <t>Mentions software/services occasionally but not systematically</t>
  </si>
  <si>
    <t>Identifies and positions software, digital, and services offers on top of core business footprint</t>
  </si>
  <si>
    <t>Embeds attach logic into how the account is run; drives meaningful growth in software/services mix</t>
  </si>
  <si>
    <t>APEX ASSESSMENT  ·  AM01</t>
  </si>
  <si>
    <t>Account Manager: Account Manager 1  ·  Account: Account 1  ·  Zone: MEA  ·  Track: Acquisition</t>
  </si>
  <si>
    <t>Account Manager</t>
  </si>
  <si>
    <t>Self Assessment Date:</t>
  </si>
  <si>
    <t>Manager Assessment Date:</t>
  </si>
  <si>
    <t>APEX Panel Date:</t>
  </si>
  <si>
    <t>◀  SELF ASSESSMENT  ▶</t>
  </si>
  <si>
    <t>◀  MANAGER ASSESSMENT  ▶</t>
  </si>
  <si>
    <t>◀  APEX PANEL ASSESSMENT  ▶</t>
  </si>
  <si>
    <t>Req
Lv</t>
  </si>
  <si>
    <t>SELF
(L1/L2/L3)</t>
  </si>
  <si>
    <t>MANAGER
(L1/L2/L3)</t>
  </si>
  <si>
    <t>APEX PANEL
(L1/L2/L3)</t>
  </si>
  <si>
    <t>Self
#</t>
  </si>
  <si>
    <t>Mgr
#</t>
  </si>
  <si>
    <t>APEX
#</t>
  </si>
  <si>
    <t>Notes / Evidence &amp; Behavioural Observations</t>
  </si>
  <si>
    <t>Self</t>
  </si>
  <si>
    <t>Manager</t>
  </si>
  <si>
    <t>APEX</t>
  </si>
  <si>
    <t>Target</t>
  </si>
  <si>
    <t>Account Management</t>
  </si>
  <si>
    <t>Acct Mgmt</t>
  </si>
  <si>
    <t>Strategic Account Ambition</t>
  </si>
  <si>
    <t>Strat Ambition</t>
  </si>
  <si>
    <t>Consultative Selling</t>
  </si>
  <si>
    <t>Consultative</t>
  </si>
  <si>
    <t>Negotiation</t>
  </si>
  <si>
    <t>Value Creation / Business Case</t>
  </si>
  <si>
    <t>Value/BizCase</t>
  </si>
  <si>
    <t>Customer Relationship Management</t>
  </si>
  <si>
    <t>CRM</t>
  </si>
  <si>
    <t>Stakeholder Management</t>
  </si>
  <si>
    <t>Stakeholder</t>
  </si>
  <si>
    <t>Influencing Skills</t>
  </si>
  <si>
    <t>Influencing</t>
  </si>
  <si>
    <t>Exec Presence</t>
  </si>
  <si>
    <t>C-Level Engagement</t>
  </si>
  <si>
    <t>C-Level</t>
  </si>
  <si>
    <t>Executive Sponsorship Mobilization</t>
  </si>
  <si>
    <t>Exec Sponsor</t>
  </si>
  <si>
    <t>Product Knowledge</t>
  </si>
  <si>
    <t>Product Know</t>
  </si>
  <si>
    <t>Industry Knowledge</t>
  </si>
  <si>
    <t>Industry Know</t>
  </si>
  <si>
    <t>One-SE Solution Positioning</t>
  </si>
  <si>
    <t>One-SE Posit</t>
  </si>
  <si>
    <t>Technical &amp; Solution Credibility</t>
  </si>
  <si>
    <t>Tech Credibility</t>
  </si>
  <si>
    <t>Pipeline Shaping</t>
  </si>
  <si>
    <t>Pipeline</t>
  </si>
  <si>
    <t>Competitive Positioning</t>
  </si>
  <si>
    <t>Competitive</t>
  </si>
  <si>
    <t>White-Space Penetration</t>
  </si>
  <si>
    <t>White-Space</t>
  </si>
  <si>
    <t>Preferred Partner Positioning</t>
  </si>
  <si>
    <t>Preferred Partner</t>
  </si>
  <si>
    <t>Share of Wallet Expansion</t>
  </si>
  <si>
    <t>WoW Expansion</t>
  </si>
  <si>
    <t>Retention &amp; Loss Prevention</t>
  </si>
  <si>
    <t>Retention</t>
  </si>
  <si>
    <t>Software &amp; Services Attach</t>
  </si>
  <si>
    <t>SW/Svc Attach</t>
  </si>
  <si>
    <t>AVERAGE MATURITY SCORE</t>
  </si>
  <si>
    <t>APEX ASSESSMENT  ·  AM02</t>
  </si>
  <si>
    <t>Account Manager: Account Manager 2  ·  Account: Account 2  ·  Zone: MEA  ·  Track: Saturation</t>
  </si>
  <si>
    <t>APEX ASSESSMENT  ·  AM03</t>
  </si>
  <si>
    <t>Account Manager: Account Manager 3  ·  Account: Account 3  ·  Zone: MEA  ·  Track: Acquisition</t>
  </si>
  <si>
    <t>APEX ASSESSMENT  ·  AM04</t>
  </si>
  <si>
    <t>Account Manager: Account Manager 4  ·  Account: Account 4  ·  Zone: MEA  ·  Track: Saturation</t>
  </si>
  <si>
    <t>APEX ASSESSMENT  ·  AM05</t>
  </si>
  <si>
    <t>Account Manager: Account Manager 5  ·  Account: Account 5  ·  Zone: MEA  ·  Track: Acquisition</t>
  </si>
  <si>
    <t>APEX ASSESSMENT  ·  AM06</t>
  </si>
  <si>
    <t>Account Manager: Account Manager 6  ·  Account: Account 6  ·  Zone: MEA  ·  Track: Acquisition</t>
  </si>
  <si>
    <t>APEX ASSESSMENT  ·  AM07</t>
  </si>
  <si>
    <t>Account Manager: Account Manager 7  ·  Account: Account 7  ·  Zone: SAM  ·  Track: Saturation</t>
  </si>
  <si>
    <t>APEX ASSESSMENT  ·  AM08</t>
  </si>
  <si>
    <t>Account Manager: Account Manager 8  ·  Account: Account 8  ·  Zone: SAM  ·  Track: Acquisition</t>
  </si>
  <si>
    <t>APEX ASSESSMENT  ·  AM09</t>
  </si>
  <si>
    <t>Account Manager: Account Manager 9  ·  Account: Account 9  ·  Zone: SAM  ·  Track: Saturation</t>
  </si>
  <si>
    <t>APEX ASSESSMENT  ·  AM10</t>
  </si>
  <si>
    <t>Account Manager: Account Manager 10  ·  Account: Account 10  ·  Zone: SAM  ·  Track: Saturation</t>
  </si>
  <si>
    <t>APEX ASSESSMENT  ·  AM11</t>
  </si>
  <si>
    <t>Account Manager: Account Manager 11  ·  Account: Account 11  ·  Zone: SAM  ·  Track: Acquisition</t>
  </si>
  <si>
    <t>APEX ASSESSMENT  ·  AM12</t>
  </si>
  <si>
    <t>Account Manager: Account Manager 12  ·  Account: Account 12  ·  Zone: SAM  ·  Track: Acquisition</t>
  </si>
  <si>
    <t>APEX ASSESSMENT  ·  AM13</t>
  </si>
  <si>
    <t>Account Manager: Account Manager 13  ·  Account: Account 13  ·  Zone: India  ·  Track: Saturation</t>
  </si>
  <si>
    <t>APEX ASSESSMENT  ·  AM14</t>
  </si>
  <si>
    <t>Account Manager: Account Manager 14  ·  Account: Account 14  ·  Zone: India  ·  Track: Acquisition</t>
  </si>
  <si>
    <t>APEX ASSESSMENT  ·  AM15</t>
  </si>
  <si>
    <t>Account Manager: Account Manager 15  ·  Account: Account 15  ·  Zone: India  ·  Track: Saturation</t>
  </si>
  <si>
    <t>APEX ASSESSMENT  ·  AM16</t>
  </si>
  <si>
    <t>Account Manager: Account Manager 16  ·  Account: Account 16  ·  Zone: India  ·  Track: Saturation</t>
  </si>
  <si>
    <t>APEX ASSESSMENT  ·  AM17</t>
  </si>
  <si>
    <t>Account Manager: Account Manager 17  ·  Account: Account 17  ·  Zone: India  ·  Track: Acquisition</t>
  </si>
  <si>
    <t>APEX ASSESSMENT  ·  AM18</t>
  </si>
  <si>
    <t>Account Manager: Account Manager 18  ·  Account: Account 18  ·  Zone: India  ·  Track: Acquisition</t>
  </si>
  <si>
    <t>Account Manager: Account Manager 19  ·  Account: Account 19  ·  Zone: Pacific  ·  Track: Acquisition</t>
  </si>
  <si>
    <t>Account Manager: Account Manager 20  ·  Account: Account 20  ·  Zone: Pacific  ·  Track: Saturation</t>
  </si>
  <si>
    <t>Account Manager: Account Manager 21  ·  Account: Account 21  ·  Zone: Pacific  ·  Track: Saturation</t>
  </si>
  <si>
    <t>APEX ASSESSMENT  ·  AM22</t>
  </si>
  <si>
    <t>Account Manager: Account Manager 22  ·  Account: Account 22  ·  Zone: Pacific  ·  Track: Acquisition</t>
  </si>
  <si>
    <t>APEX ASSESSMENT  ·  AM23</t>
  </si>
  <si>
    <t>Account Manager: Account Manager 23  ·  Account: Account 23  ·  Zone: Pacific  ·  Track: Saturation</t>
  </si>
  <si>
    <t>APEX ASSESSMENT  ·  AM24</t>
  </si>
  <si>
    <t>Account Manager: Account Manager 24  ·  Account: Account 24  ·  Zone: Pacific  ·  Track: Acquisition</t>
  </si>
  <si>
    <t>APEX ASSESSMENT  ·  AM25</t>
  </si>
  <si>
    <t>Account Manager: Account Manager 25  ·  Account: Account 25  ·  Zone: Pacific  ·  Track: Acquisition</t>
  </si>
  <si>
    <t>CONSOLIDATION  ·  All 25 Account Managers</t>
  </si>
  <si>
    <t>APEX Panel Scores — Live-linked from individual AM sheets · Colour-coded heatmap</t>
  </si>
  <si>
    <t>AM Name</t>
  </si>
  <si>
    <t>Account</t>
  </si>
  <si>
    <t>Self
Avg</t>
  </si>
  <si>
    <t>Mgr
Avg</t>
  </si>
  <si>
    <t>APEX
Avg</t>
  </si>
  <si>
    <t xml:space="preserve">  MEA ZONE AVERAGE</t>
  </si>
  <si>
    <t xml:space="preserve">  SAM ZONE AVERAGE</t>
  </si>
  <si>
    <t xml:space="preserve">  India ZONE AVERAGE</t>
  </si>
  <si>
    <t xml:space="preserve">  Pacific ZONE AVERAGE</t>
  </si>
  <si>
    <t>ZONE BENCHMARK  ·  MEA</t>
  </si>
  <si>
    <t>APEX Panel Scores — 6 Account Managers in Zone MEA  ·  Radar comparison</t>
  </si>
  <si>
    <t>Req</t>
  </si>
  <si>
    <t>AM01
Account Manage
Account 1</t>
  </si>
  <si>
    <t>AM02
Account Manage
Account 2</t>
  </si>
  <si>
    <t>AM03
Account Manage
Account 3</t>
  </si>
  <si>
    <t>AM04
Account Manage
Account 4</t>
  </si>
  <si>
    <t>AM05
Account Manage
Account 5</t>
  </si>
  <si>
    <t>AM06
Account Manage
Account 6</t>
  </si>
  <si>
    <t>Zone
Avg</t>
  </si>
  <si>
    <t>Zone Avg</t>
  </si>
  <si>
    <t>ZONE BENCHMARK  ·  SAM</t>
  </si>
  <si>
    <t>APEX Panel Scores — 6 Account Managers in Zone SAM  ·  Radar comparison</t>
  </si>
  <si>
    <t>AM07
Account Manage
Account 7</t>
  </si>
  <si>
    <t>AM08
Account Manage
Account 8</t>
  </si>
  <si>
    <t>AM09
Account Manage
Account 9</t>
  </si>
  <si>
    <t>AM10
Account Manage
Account 10</t>
  </si>
  <si>
    <t>AM11
Account Manage
Account 11</t>
  </si>
  <si>
    <t>AM12
Account Manage
Account 12</t>
  </si>
  <si>
    <t>ZONE BENCHMARK  ·  India</t>
  </si>
  <si>
    <t>APEX Panel Scores — 6 Account Managers in Zone India  ·  Radar comparison</t>
  </si>
  <si>
    <t>AM13
Account Manage
Account 13</t>
  </si>
  <si>
    <t>AM14
Account Manage
Account 14</t>
  </si>
  <si>
    <t>AM15
Account Manage
Account 15</t>
  </si>
  <si>
    <t>AM16
Account Manage
Account 16</t>
  </si>
  <si>
    <t>AM17
Account Manage
Account 17</t>
  </si>
  <si>
    <t>AM18
Account Manage
Account 18</t>
  </si>
  <si>
    <t>ZONE BENCHMARK  ·  Pacific</t>
  </si>
  <si>
    <t>APEX Panel Scores — 7 Account Managers in Zone Pacific  ·  Radar comparison</t>
  </si>
  <si>
    <t>AM19
Account Manage
Account 19</t>
  </si>
  <si>
    <t>AM20
Account Manage
Account 20</t>
  </si>
  <si>
    <t>AM21
Account Manage
Account 21</t>
  </si>
  <si>
    <t>AM22
Account Manage
Account 22</t>
  </si>
  <si>
    <t>AM23
Account Manage
Account 23</t>
  </si>
  <si>
    <t>AM24
Account Manage
Account 24</t>
  </si>
  <si>
    <t>AM25
Account Manage
Account 25</t>
  </si>
  <si>
    <t xml:space="preserve">3 Assessment Lenses  ·  22 Capabilities  ·  </t>
  </si>
  <si>
    <t xml:space="preserve">INSTRUCTIONS </t>
  </si>
  <si>
    <r>
      <t xml:space="preserve">1. Please review the </t>
    </r>
    <r>
      <rPr>
        <b/>
        <sz val="9"/>
        <color theme="1"/>
        <rFont val="Arial"/>
        <family val="2"/>
      </rPr>
      <t>Capability Guide</t>
    </r>
    <r>
      <rPr>
        <sz val="9"/>
        <color theme="1"/>
        <rFont val="Arial"/>
        <family val="2"/>
      </rPr>
      <t xml:space="preserve"> tab before starting the assessment.</t>
    </r>
  </si>
  <si>
    <r>
      <t xml:space="preserve">2. For each capability, read the definitions and behavioural indicators for </t>
    </r>
    <r>
      <rPr>
        <b/>
        <sz val="9"/>
        <color theme="1"/>
        <rFont val="Arial"/>
        <family val="2"/>
      </rPr>
      <t>L1 (Developing), L2 (Proficient), and L3 (Advanced)</t>
    </r>
    <r>
      <rPr>
        <sz val="9"/>
        <color theme="1"/>
        <rFont val="Arial"/>
        <family val="2"/>
      </rPr>
      <t>, and select the level that best reflects your current capability.</t>
    </r>
  </si>
  <si>
    <r>
      <t xml:space="preserve">3. Complete the </t>
    </r>
    <r>
      <rPr>
        <b/>
        <sz val="9"/>
        <color theme="1"/>
        <rFont val="Arial"/>
        <family val="2"/>
      </rPr>
      <t>Self Assessment</t>
    </r>
    <r>
      <rPr>
        <sz val="9"/>
        <color theme="1"/>
        <rFont val="Arial"/>
        <family val="2"/>
      </rPr>
      <t xml:space="preserve"> section based on an honest evaluation of your current performance and behaviours.</t>
    </r>
  </si>
  <si>
    <r>
      <t xml:space="preserve">4. Where relevant, add comments or examples in the </t>
    </r>
    <r>
      <rPr>
        <b/>
        <sz val="9"/>
        <color theme="1"/>
        <rFont val="Arial"/>
        <family val="2"/>
      </rPr>
      <t xml:space="preserve">Notes </t>
    </r>
    <r>
      <rPr>
        <sz val="9"/>
        <color theme="1"/>
        <rFont val="Arial"/>
        <family val="2"/>
      </rPr>
      <t>section to support your assessment.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</si>
</sst>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009E4D"/>
      <name val="Arial"/>
      <charset val="1"/>
    </font>
    <font>
      <b/>
      <sz val="16"/>
      <color rgb="FF1A2332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b/>
      <sz val="10"/>
      <color rgb="FFC8102E"/>
      <name val="Arial"/>
      <charset val="1"/>
    </font>
    <font>
      <sz val="9"/>
      <color rgb="FF2D3748"/>
      <name val="Arial"/>
      <charset val="1"/>
    </font>
    <font>
      <b/>
      <sz val="10"/>
      <color rgb="FF0F62FE"/>
      <name val="Arial"/>
      <charset val="1"/>
    </font>
    <font>
      <b/>
      <sz val="10"/>
      <color rgb="FF009E4D"/>
      <name val="Arial"/>
      <charset val="1"/>
    </font>
    <font>
      <b/>
      <sz val="10"/>
      <color rgb="FF00A9A5"/>
      <name val="Arial"/>
      <charset val="1"/>
    </font>
    <font>
      <b/>
      <sz val="9"/>
      <color rgb="FFFFFFFF"/>
      <name val="Arial"/>
      <charset val="1"/>
    </font>
    <font>
      <sz val="9"/>
      <color rgb="FF64748B"/>
      <name val="Arial"/>
      <charset val="1"/>
    </font>
    <font>
      <sz val="9"/>
      <color rgb="FF1A2332"/>
      <name val="Arial"/>
      <charset val="1"/>
    </font>
    <font>
      <b/>
      <sz val="9"/>
      <color rgb="FF0F62FE"/>
      <name val="Arial"/>
      <charset val="1"/>
    </font>
    <font>
      <b/>
      <sz val="9"/>
      <color rgb="FF009E4D"/>
      <name val="Arial"/>
      <charset val="1"/>
    </font>
    <font>
      <b/>
      <sz val="9"/>
      <color rgb="FFD4520A"/>
      <name val="Arial"/>
      <charset val="1"/>
    </font>
    <font>
      <b/>
      <sz val="9"/>
      <color rgb="FF6B47B8"/>
      <name val="Arial"/>
      <charset val="1"/>
    </font>
    <font>
      <sz val="9"/>
      <color rgb="FFC8102E"/>
      <name val="Arial"/>
      <charset val="1"/>
    </font>
    <font>
      <sz val="9"/>
      <color rgb="FF0F62FE"/>
      <name val="Arial"/>
      <charset val="1"/>
    </font>
    <font>
      <sz val="9"/>
      <color rgb="FF009E4D"/>
      <name val="Arial"/>
      <charset val="1"/>
    </font>
    <font>
      <b/>
      <sz val="9"/>
      <color rgb="FF00A9A5"/>
      <name val="Arial"/>
      <charset val="1"/>
    </font>
    <font>
      <b/>
      <sz val="9"/>
      <color rgb="FFB45309"/>
      <name val="Arial"/>
      <charset val="1"/>
    </font>
    <font>
      <b/>
      <sz val="9"/>
      <color rgb="FF007A50"/>
      <name val="Arial"/>
      <charset val="1"/>
    </font>
    <font>
      <sz val="8"/>
      <color rgb="FF64748B"/>
      <name val="Arial"/>
      <charset val="1"/>
    </font>
    <font>
      <b/>
      <sz val="8"/>
      <color rgb="FF00A9A5"/>
      <name val="Arial"/>
      <charset val="1"/>
    </font>
    <font>
      <b/>
      <sz val="8"/>
      <color rgb="FF0F62FE"/>
      <name val="Arial"/>
      <charset val="1"/>
    </font>
    <font>
      <b/>
      <sz val="8"/>
      <color rgb="FF009E4D"/>
      <name val="Arial"/>
      <charset val="1"/>
    </font>
    <font>
      <b/>
      <sz val="8"/>
      <color rgb="FFFFFFFF"/>
      <name val="Arial"/>
      <charset val="1"/>
    </font>
    <font>
      <b/>
      <sz val="7"/>
      <color rgb="FF64748B"/>
      <name val="Arial"/>
      <charset val="1"/>
    </font>
    <font>
      <b/>
      <sz val="9"/>
      <color rgb="FF64748B"/>
      <name val="Arial"/>
      <charset val="1"/>
    </font>
    <font>
      <b/>
      <sz val="9"/>
      <color rgb="FF1A2332"/>
      <name val="Arial"/>
      <charset val="1"/>
    </font>
    <font>
      <i/>
      <sz val="8"/>
      <color rgb="FF94A3B8"/>
      <name val="Arial"/>
      <charset val="1"/>
    </font>
    <font>
      <b/>
      <sz val="11"/>
      <color rgb="FFFFFFFF"/>
      <name val="Arial"/>
      <charset val="1"/>
    </font>
    <font>
      <b/>
      <sz val="7"/>
      <color rgb="FFFFFFFF"/>
      <name val="Arial"/>
      <charset val="1"/>
    </font>
    <font>
      <sz val="8"/>
      <color rgb="FF1A2332"/>
      <name val="Arial"/>
      <charset val="1"/>
    </font>
    <font>
      <b/>
      <sz val="8"/>
      <color rgb="FFD4520A"/>
      <name val="Arial"/>
      <charset val="1"/>
    </font>
    <font>
      <b/>
      <sz val="8"/>
      <color rgb="FF6B47B8"/>
      <name val="Arial"/>
      <charset val="1"/>
    </font>
    <font>
      <b/>
      <sz val="10"/>
      <color rgb="FF1A2332"/>
      <name val="Arial"/>
      <charset val="1"/>
    </font>
    <font>
      <sz val="7"/>
      <color rgb="FF64748B"/>
      <name val="Arial"/>
      <charset val="1"/>
    </font>
    <font>
      <b/>
      <sz val="10"/>
      <color rgb="FFD4520A"/>
      <name val="Arial"/>
      <charset val="1"/>
    </font>
    <font>
      <b/>
      <sz val="10"/>
      <color rgb="FF6B47B8"/>
      <name val="Arial"/>
      <charset val="1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3DCD58"/>
        <bgColor rgb="FF47B840"/>
      </patternFill>
    </fill>
    <fill>
      <patternFill patternType="solid">
        <fgColor rgb="FFFFFFFF"/>
        <bgColor rgb="FFF5F7FA"/>
      </patternFill>
    </fill>
    <fill>
      <patternFill patternType="solid">
        <fgColor rgb="FF009E4D"/>
        <bgColor rgb="FF007A50"/>
      </patternFill>
    </fill>
    <fill>
      <patternFill patternType="solid">
        <fgColor rgb="FFFDEAEA"/>
        <bgColor rgb="FFFEF0E6"/>
      </patternFill>
    </fill>
    <fill>
      <patternFill patternType="solid">
        <fgColor rgb="FFF5F7FA"/>
        <bgColor rgb="FFEEF1F6"/>
      </patternFill>
    </fill>
    <fill>
      <patternFill patternType="solid">
        <fgColor rgb="FFEBF2FF"/>
        <bgColor rgb="FFEEF1F6"/>
      </patternFill>
    </fill>
    <fill>
      <patternFill patternType="solid">
        <fgColor rgb="FFE8F8ED"/>
        <bgColor rgb="FFE6F4ED"/>
      </patternFill>
    </fill>
    <fill>
      <patternFill patternType="solid">
        <fgColor rgb="FFE6F6F6"/>
        <bgColor rgb="FFE6F4ED"/>
      </patternFill>
    </fill>
    <fill>
      <patternFill patternType="solid">
        <fgColor rgb="FF0F62FE"/>
        <bgColor rgb="FF3366FF"/>
      </patternFill>
    </fill>
    <fill>
      <patternFill patternType="solid">
        <fgColor rgb="FFEEF1F6"/>
        <bgColor rgb="FFEBF2FF"/>
      </patternFill>
    </fill>
    <fill>
      <patternFill patternType="solid">
        <fgColor rgb="FFD4520A"/>
        <bgColor rgb="FFB45309"/>
      </patternFill>
    </fill>
    <fill>
      <patternFill patternType="solid">
        <fgColor rgb="FFFEF0E6"/>
        <bgColor rgb="FFFDEAEA"/>
      </patternFill>
    </fill>
    <fill>
      <patternFill patternType="solid">
        <fgColor rgb="FF6B47B8"/>
        <bgColor rgb="FF64748B"/>
      </patternFill>
    </fill>
    <fill>
      <patternFill patternType="solid">
        <fgColor rgb="FFF0ECF9"/>
        <bgColor rgb="FFEEF1F6"/>
      </patternFill>
    </fill>
    <fill>
      <patternFill patternType="solid">
        <fgColor rgb="FFE6F4ED"/>
        <bgColor rgb="FFE8F8ED"/>
      </patternFill>
    </fill>
    <fill>
      <patternFill patternType="solid">
        <fgColor rgb="FFC5EDD1"/>
        <bgColor rgb="FFB8E0CC"/>
      </patternFill>
    </fill>
    <fill>
      <patternFill patternType="solid">
        <fgColor rgb="FFCCDEFF"/>
        <bgColor rgb="FFD0D7E2"/>
      </patternFill>
    </fill>
    <fill>
      <patternFill patternType="solid">
        <fgColor rgb="FFB3E8E7"/>
        <bgColor rgb="FFB8E0CC"/>
      </patternFill>
    </fill>
    <fill>
      <patternFill patternType="solid">
        <fgColor rgb="FFDDD6F5"/>
        <bgColor rgb="FFD0D7E2"/>
      </patternFill>
    </fill>
    <fill>
      <patternFill patternType="solid">
        <fgColor rgb="FFF9D9C4"/>
        <bgColor rgb="FFFDEAEA"/>
      </patternFill>
    </fill>
    <fill>
      <patternFill patternType="solid">
        <fgColor rgb="FFB8E0CC"/>
        <bgColor rgb="FFB3E8E7"/>
      </patternFill>
    </fill>
    <fill>
      <patternFill patternType="solid">
        <fgColor rgb="FF00A9A5"/>
        <bgColor rgb="FF009E4D"/>
      </patternFill>
    </fill>
    <fill>
      <patternFill patternType="solid">
        <fgColor rgb="FF007A50"/>
        <bgColor rgb="FF008000"/>
      </patternFill>
    </fill>
    <fill>
      <patternFill patternType="solid">
        <fgColor theme="2"/>
        <bgColor rgb="FF007A50"/>
      </patternFill>
    </fill>
  </fills>
  <borders count="13">
    <border>
      <left/>
      <right/>
      <top/>
      <bottom/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 style="thin">
        <color rgb="FFB0BAC8"/>
      </left>
      <right style="thin">
        <color rgb="FFB0BAC8"/>
      </right>
      <top style="thin">
        <color rgb="FFB0BAC8"/>
      </top>
      <bottom style="thin">
        <color rgb="FFB0BAC8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medium">
        <color rgb="FF00A9A5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medium">
        <color rgb="FF0F62FE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medium">
        <color rgb="FF009E4D"/>
      </bottom>
      <diagonal/>
    </border>
    <border>
      <left style="medium">
        <color rgb="FF00A9A5"/>
      </left>
      <right style="medium">
        <color rgb="FF00A9A5"/>
      </right>
      <top style="medium">
        <color rgb="FF00A9A5"/>
      </top>
      <bottom style="medium">
        <color rgb="FF00A9A5"/>
      </bottom>
      <diagonal/>
    </border>
    <border>
      <left style="medium">
        <color rgb="FF0F62FE"/>
      </left>
      <right style="medium">
        <color rgb="FF0F62FE"/>
      </right>
      <top style="medium">
        <color rgb="FF0F62FE"/>
      </top>
      <bottom style="medium">
        <color rgb="FF0F62FE"/>
      </bottom>
      <diagonal/>
    </border>
    <border>
      <left style="medium">
        <color rgb="FF009E4D"/>
      </left>
      <right style="medium">
        <color rgb="FF009E4D"/>
      </right>
      <top style="medium">
        <color rgb="FF009E4D"/>
      </top>
      <bottom style="medium">
        <color rgb="FF009E4D"/>
      </bottom>
      <diagonal/>
    </border>
    <border>
      <left style="medium">
        <color rgb="FF009E4D"/>
      </left>
      <right/>
      <top style="medium">
        <color rgb="FF009E4D"/>
      </top>
      <bottom style="medium">
        <color rgb="FF009E4D"/>
      </bottom>
      <diagonal/>
    </border>
    <border>
      <left style="medium">
        <color rgb="FFD4520A"/>
      </left>
      <right style="medium">
        <color rgb="FFD4520A"/>
      </right>
      <top style="medium">
        <color rgb="FFD4520A"/>
      </top>
      <bottom style="medium">
        <color rgb="FFD4520A"/>
      </bottom>
      <diagonal/>
    </border>
    <border>
      <left style="medium">
        <color rgb="FF6B47B8"/>
      </left>
      <right style="medium">
        <color rgb="FF6B47B8"/>
      </right>
      <top style="medium">
        <color rgb="FF6B47B8"/>
      </top>
      <bottom style="medium">
        <color rgb="FF6B47B8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2" borderId="0" xfId="0" applyFill="1"/>
    <xf numFmtId="0" fontId="0" fillId="3" borderId="0" xfId="0" applyFill="1"/>
    <xf numFmtId="0" fontId="11" fillId="4" borderId="2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20" fillId="8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left" vertical="center" wrapText="1"/>
    </xf>
    <xf numFmtId="0" fontId="12" fillId="15" borderId="3" xfId="0" applyFont="1" applyFill="1" applyBorder="1" applyAlignment="1">
      <alignment horizontal="left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left" vertical="center" wrapText="1"/>
    </xf>
    <xf numFmtId="0" fontId="12" fillId="16" borderId="3" xfId="0" applyFont="1" applyFill="1" applyBorder="1" applyAlignment="1">
      <alignment horizontal="left" vertical="center" wrapText="1"/>
    </xf>
    <xf numFmtId="0" fontId="21" fillId="16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right" vertical="center"/>
    </xf>
    <xf numFmtId="0" fontId="15" fillId="3" borderId="3" xfId="0" applyFont="1" applyFill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3" fillId="3" borderId="4" xfId="0" applyFont="1" applyFill="1" applyBorder="1"/>
    <xf numFmtId="0" fontId="13" fillId="3" borderId="5" xfId="0" applyFont="1" applyFill="1" applyBorder="1"/>
    <xf numFmtId="0" fontId="13" fillId="3" borderId="6" xfId="0" applyFont="1" applyFill="1" applyBorder="1"/>
    <xf numFmtId="0" fontId="0" fillId="6" borderId="3" xfId="0" applyFill="1" applyBorder="1"/>
    <xf numFmtId="0" fontId="25" fillId="9" borderId="3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9" fillId="6" borderId="0" xfId="0" applyFont="1" applyFill="1"/>
    <xf numFmtId="0" fontId="30" fillId="8" borderId="3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1" fontId="31" fillId="11" borderId="3" xfId="0" applyNumberFormat="1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left" vertical="top" wrapText="1"/>
    </xf>
    <xf numFmtId="0" fontId="24" fillId="6" borderId="0" xfId="0" applyFont="1" applyFill="1"/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/>
    </xf>
    <xf numFmtId="0" fontId="31" fillId="17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left" vertical="center" wrapText="1"/>
    </xf>
    <xf numFmtId="0" fontId="30" fillId="18" borderId="3" xfId="0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21" fillId="19" borderId="3" xfId="0" applyFont="1" applyFill="1" applyBorder="1" applyAlignment="1">
      <alignment horizontal="left" vertical="center" wrapText="1"/>
    </xf>
    <xf numFmtId="0" fontId="30" fillId="19" borderId="3" xfId="0" applyFont="1" applyFill="1" applyBorder="1" applyAlignment="1">
      <alignment horizontal="center" vertical="center"/>
    </xf>
    <xf numFmtId="0" fontId="31" fillId="19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/>
    </xf>
    <xf numFmtId="0" fontId="17" fillId="20" borderId="3" xfId="0" applyFont="1" applyFill="1" applyBorder="1" applyAlignment="1">
      <alignment horizontal="left" vertical="center" wrapText="1"/>
    </xf>
    <xf numFmtId="0" fontId="30" fillId="20" borderId="3" xfId="0" applyFont="1" applyFill="1" applyBorder="1" applyAlignment="1">
      <alignment horizontal="center" vertical="center"/>
    </xf>
    <xf numFmtId="0" fontId="31" fillId="20" borderId="3" xfId="0" applyFont="1" applyFill="1" applyBorder="1" applyAlignment="1">
      <alignment horizontal="center" vertical="center"/>
    </xf>
    <xf numFmtId="0" fontId="30" fillId="15" borderId="3" xfId="0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left" vertical="center" wrapText="1"/>
    </xf>
    <xf numFmtId="0" fontId="22" fillId="21" borderId="3" xfId="0" applyFont="1" applyFill="1" applyBorder="1" applyAlignment="1">
      <alignment horizontal="center" vertical="center"/>
    </xf>
    <xf numFmtId="0" fontId="15" fillId="21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31" fillId="13" borderId="3" xfId="0" applyFont="1" applyFill="1" applyBorder="1" applyAlignment="1">
      <alignment horizontal="center" vertical="center"/>
    </xf>
    <xf numFmtId="0" fontId="31" fillId="21" borderId="3" xfId="0" applyFont="1" applyFill="1" applyBorder="1" applyAlignment="1">
      <alignment horizontal="center" vertical="center"/>
    </xf>
    <xf numFmtId="0" fontId="23" fillId="22" borderId="3" xfId="0" applyFont="1" applyFill="1" applyBorder="1" applyAlignment="1">
      <alignment horizontal="left" vertical="center" wrapText="1"/>
    </xf>
    <xf numFmtId="0" fontId="21" fillId="22" borderId="3" xfId="0" applyFont="1" applyFill="1" applyBorder="1" applyAlignment="1">
      <alignment horizontal="center" vertical="center"/>
    </xf>
    <xf numFmtId="0" fontId="15" fillId="22" borderId="3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31" fillId="16" borderId="3" xfId="0" applyFont="1" applyFill="1" applyBorder="1" applyAlignment="1">
      <alignment horizontal="center" vertical="center"/>
    </xf>
    <xf numFmtId="0" fontId="31" fillId="22" borderId="3" xfId="0" applyFont="1" applyFill="1" applyBorder="1" applyAlignment="1">
      <alignment horizontal="center" vertical="center"/>
    </xf>
    <xf numFmtId="2" fontId="33" fillId="23" borderId="7" xfId="0" applyNumberFormat="1" applyFont="1" applyFill="1" applyBorder="1" applyAlignment="1">
      <alignment horizontal="center" vertical="center"/>
    </xf>
    <xf numFmtId="2" fontId="33" fillId="10" borderId="8" xfId="0" applyNumberFormat="1" applyFont="1" applyFill="1" applyBorder="1" applyAlignment="1">
      <alignment horizontal="center" vertical="center"/>
    </xf>
    <xf numFmtId="2" fontId="33" fillId="4" borderId="9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left" vertical="center"/>
    </xf>
    <xf numFmtId="0" fontId="16" fillId="13" borderId="3" xfId="0" applyFont="1" applyFill="1" applyBorder="1" applyAlignment="1">
      <alignment horizontal="left" vertical="center"/>
    </xf>
    <xf numFmtId="0" fontId="17" fillId="15" borderId="3" xfId="0" applyFont="1" applyFill="1" applyBorder="1" applyAlignment="1">
      <alignment horizontal="left" vertical="center"/>
    </xf>
    <xf numFmtId="0" fontId="34" fillId="4" borderId="2" xfId="0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4" fillId="23" borderId="2" xfId="0" applyFont="1" applyFill="1" applyBorder="1" applyAlignment="1">
      <alignment horizontal="center" vertical="center" wrapText="1"/>
    </xf>
    <xf numFmtId="0" fontId="34" fillId="1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0" fontId="34" fillId="24" borderId="2" xfId="0" applyFont="1" applyFill="1" applyBorder="1" applyAlignment="1">
      <alignment horizontal="center" vertical="center" wrapText="1"/>
    </xf>
    <xf numFmtId="0" fontId="28" fillId="23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35" fillId="6" borderId="3" xfId="0" applyFont="1" applyFill="1" applyBorder="1" applyAlignment="1">
      <alignment horizontal="left" vertical="center"/>
    </xf>
    <xf numFmtId="0" fontId="28" fillId="10" borderId="3" xfId="0" applyFont="1" applyFill="1" applyBorder="1" applyAlignment="1">
      <alignment horizontal="center" vertical="center"/>
    </xf>
    <xf numFmtId="1" fontId="31" fillId="6" borderId="3" xfId="0" applyNumberFormat="1" applyFont="1" applyFill="1" applyBorder="1" applyAlignment="1">
      <alignment horizontal="center" vertical="center"/>
    </xf>
    <xf numFmtId="2" fontId="21" fillId="3" borderId="3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2" fontId="15" fillId="3" borderId="3" xfId="0" applyNumberFormat="1" applyFont="1" applyFill="1" applyBorder="1" applyAlignment="1">
      <alignment horizontal="center" vertical="center"/>
    </xf>
    <xf numFmtId="0" fontId="35" fillId="11" borderId="3" xfId="0" applyFont="1" applyFill="1" applyBorder="1" applyAlignment="1">
      <alignment horizontal="left" vertical="center"/>
    </xf>
    <xf numFmtId="0" fontId="28" fillId="4" borderId="3" xfId="0" applyFont="1" applyFill="1" applyBorder="1" applyAlignment="1">
      <alignment horizontal="center" vertical="center"/>
    </xf>
    <xf numFmtId="0" fontId="28" fillId="12" borderId="3" xfId="0" applyFont="1" applyFill="1" applyBorder="1" applyAlignment="1">
      <alignment horizontal="center" vertical="center"/>
    </xf>
    <xf numFmtId="0" fontId="36" fillId="13" borderId="3" xfId="0" applyFont="1" applyFill="1" applyBorder="1" applyAlignment="1">
      <alignment horizontal="center" vertical="center"/>
    </xf>
    <xf numFmtId="0" fontId="28" fillId="14" borderId="3" xfId="0" applyFont="1" applyFill="1" applyBorder="1" applyAlignment="1">
      <alignment horizontal="center" vertical="center"/>
    </xf>
    <xf numFmtId="0" fontId="37" fillId="15" borderId="3" xfId="0" applyFont="1" applyFill="1" applyBorder="1" applyAlignment="1">
      <alignment horizontal="center" vertical="center"/>
    </xf>
    <xf numFmtId="164" fontId="14" fillId="7" borderId="3" xfId="0" applyNumberFormat="1" applyFont="1" applyFill="1" applyBorder="1" applyAlignment="1">
      <alignment horizontal="center" vertical="center"/>
    </xf>
    <xf numFmtId="164" fontId="15" fillId="8" borderId="3" xfId="0" applyNumberFormat="1" applyFont="1" applyFill="1" applyBorder="1" applyAlignment="1">
      <alignment horizontal="center" vertical="center"/>
    </xf>
    <xf numFmtId="164" fontId="16" fillId="13" borderId="3" xfId="0" applyNumberFormat="1" applyFont="1" applyFill="1" applyBorder="1" applyAlignment="1">
      <alignment horizontal="center" vertical="center"/>
    </xf>
    <xf numFmtId="164" fontId="17" fillId="15" borderId="3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1" fontId="38" fillId="8" borderId="3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horizontal="center" vertical="center"/>
    </xf>
    <xf numFmtId="0" fontId="39" fillId="6" borderId="0" xfId="0" applyFont="1" applyFill="1"/>
    <xf numFmtId="1" fontId="38" fillId="17" borderId="3" xfId="0" applyNumberFormat="1" applyFont="1" applyFill="1" applyBorder="1" applyAlignment="1">
      <alignment horizontal="center" vertical="center"/>
    </xf>
    <xf numFmtId="1" fontId="38" fillId="7" borderId="3" xfId="0" applyNumberFormat="1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/>
    </xf>
    <xf numFmtId="1" fontId="38" fillId="18" borderId="3" xfId="0" applyNumberFormat="1" applyFont="1" applyFill="1" applyBorder="1" applyAlignment="1">
      <alignment horizontal="center" vertical="center"/>
    </xf>
    <xf numFmtId="1" fontId="38" fillId="19" borderId="3" xfId="0" applyNumberFormat="1" applyFont="1" applyFill="1" applyBorder="1" applyAlignment="1">
      <alignment horizontal="center" vertical="center"/>
    </xf>
    <xf numFmtId="1" fontId="38" fillId="9" borderId="3" xfId="0" applyNumberFormat="1" applyFont="1" applyFill="1" applyBorder="1" applyAlignment="1">
      <alignment horizontal="center" vertical="center"/>
    </xf>
    <xf numFmtId="1" fontId="38" fillId="20" borderId="3" xfId="0" applyNumberFormat="1" applyFont="1" applyFill="1" applyBorder="1" applyAlignment="1">
      <alignment horizontal="center" vertical="center"/>
    </xf>
    <xf numFmtId="1" fontId="38" fillId="15" borderId="3" xfId="0" applyNumberFormat="1" applyFont="1" applyFill="1" applyBorder="1" applyAlignment="1">
      <alignment horizontal="center" vertical="center"/>
    </xf>
    <xf numFmtId="1" fontId="38" fillId="21" borderId="3" xfId="0" applyNumberFormat="1" applyFont="1" applyFill="1" applyBorder="1" applyAlignment="1">
      <alignment horizontal="center" vertical="center"/>
    </xf>
    <xf numFmtId="1" fontId="38" fillId="13" borderId="3" xfId="0" applyNumberFormat="1" applyFont="1" applyFill="1" applyBorder="1" applyAlignment="1">
      <alignment horizontal="center" vertical="center"/>
    </xf>
    <xf numFmtId="1" fontId="38" fillId="22" borderId="3" xfId="0" applyNumberFormat="1" applyFont="1" applyFill="1" applyBorder="1" applyAlignment="1">
      <alignment horizontal="center" vertical="center"/>
    </xf>
    <xf numFmtId="1" fontId="38" fillId="16" borderId="3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9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 wrapText="1"/>
    </xf>
    <xf numFmtId="164" fontId="40" fillId="13" borderId="3" xfId="0" applyNumberFormat="1" applyFont="1" applyFill="1" applyBorder="1" applyAlignment="1">
      <alignment horizontal="center" vertical="center"/>
    </xf>
    <xf numFmtId="164" fontId="40" fillId="13" borderId="11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164" fontId="41" fillId="15" borderId="3" xfId="0" applyNumberFormat="1" applyFont="1" applyFill="1" applyBorder="1" applyAlignment="1">
      <alignment horizontal="center" vertical="center"/>
    </xf>
    <xf numFmtId="164" fontId="41" fillId="15" borderId="12" xfId="0" applyNumberFormat="1" applyFont="1" applyFill="1" applyBorder="1" applyAlignment="1">
      <alignment horizontal="center" vertical="center"/>
    </xf>
    <xf numFmtId="0" fontId="25" fillId="25" borderId="2" xfId="0" applyFont="1" applyFill="1" applyBorder="1" applyAlignment="1">
      <alignment horizontal="center" vertical="center" wrapText="1"/>
    </xf>
    <xf numFmtId="0" fontId="26" fillId="25" borderId="2" xfId="0" applyFont="1" applyFill="1" applyBorder="1" applyAlignment="1">
      <alignment horizontal="center" vertical="center" wrapText="1"/>
    </xf>
    <xf numFmtId="0" fontId="27" fillId="25" borderId="2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6" borderId="0" xfId="0" applyFont="1" applyFill="1" applyAlignment="1">
      <alignment horizontal="center"/>
    </xf>
    <xf numFmtId="0" fontId="43" fillId="0" borderId="0" xfId="0" applyFont="1" applyAlignment="1">
      <alignment vertical="center"/>
    </xf>
    <xf numFmtId="0" fontId="43" fillId="0" borderId="0" xfId="0" applyFont="1"/>
    <xf numFmtId="0" fontId="8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2" fontId="33" fillId="4" borderId="10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165"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  <dxf>
      <font>
        <b/>
        <color rgb="FF009E4D"/>
        <name val="Arial"/>
        <charset val="1"/>
      </font>
      <fill>
        <patternFill>
          <bgColor rgb="FFE8F8ED"/>
        </patternFill>
      </fill>
    </dxf>
    <dxf>
      <font>
        <b/>
        <color rgb="FF0F62FE"/>
        <name val="Arial"/>
        <charset val="1"/>
      </font>
      <fill>
        <patternFill>
          <bgColor rgb="FFEBF2FF"/>
        </patternFill>
      </fill>
    </dxf>
    <dxf>
      <font>
        <b/>
        <color rgb="FFC8102E"/>
        <name val="Arial"/>
        <charset val="1"/>
      </font>
      <fill>
        <patternFill>
          <bgColor rgb="FFFDEAEA"/>
        </patternFill>
      </fill>
    </dxf>
    <dxf>
      <font>
        <b/>
        <sz val="9"/>
        <color rgb="FF009E4D"/>
        <name val="Arial"/>
        <charset val="1"/>
      </font>
      <fill>
        <patternFill>
          <bgColor rgb="FFE8F8ED"/>
        </patternFill>
      </fill>
    </dxf>
    <dxf>
      <font>
        <b/>
        <sz val="9"/>
        <color rgb="FF0F62FE"/>
        <name val="Arial"/>
        <charset val="1"/>
      </font>
      <fill>
        <patternFill>
          <bgColor rgb="FFEBF2FF"/>
        </patternFill>
      </fill>
    </dxf>
    <dxf>
      <font>
        <b/>
        <sz val="9"/>
        <color rgb="FFC8102E"/>
        <name val="Arial"/>
        <charset val="1"/>
      </font>
      <fill>
        <patternFill>
          <bgColor rgb="FFFDEA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62FE35"/>
      <rgbColor rgb="FF0000FF"/>
      <rgbColor rgb="FFE6F4ED"/>
      <rgbColor rgb="FFFF00FF"/>
      <rgbColor rgb="FF62FE40"/>
      <rgbColor rgb="FF520A40"/>
      <rgbColor rgb="FF008000"/>
      <rgbColor rgb="FF000080"/>
      <rgbColor rgb="FFA9A540"/>
      <rgbColor rgb="FF800080"/>
      <rgbColor rgb="FF007A50"/>
      <rgbColor rgb="FFB0BAC8"/>
      <rgbColor rgb="FF878787"/>
      <rgbColor rgb="FFB8E0CC"/>
      <rgbColor rgb="FF9E4D40"/>
      <rgbColor rgb="FFFEF0E6"/>
      <rgbColor rgb="FFE6F6F6"/>
      <rgbColor rgb="FF530940"/>
      <rgbColor rgb="FFCCDEFF"/>
      <rgbColor rgb="FF0F62FE"/>
      <rgbColor rgb="FFDDD6F5"/>
      <rgbColor rgb="FF000080"/>
      <rgbColor rgb="FFFF00FF"/>
      <rgbColor rgb="FFEEF1F6"/>
      <rgbColor rgb="FFF5F7FA"/>
      <rgbColor rgb="FF800080"/>
      <rgbColor rgb="FF800000"/>
      <rgbColor rgb="FF009E4D"/>
      <rgbColor rgb="FF0000FF"/>
      <rgbColor rgb="FF00A9A5"/>
      <rgbColor rgb="FFE8F8ED"/>
      <rgbColor rgb="FFC5EDD1"/>
      <rgbColor rgb="FFFDEAEA"/>
      <rgbColor rgb="FFB3E8E7"/>
      <rgbColor rgb="FFD9D9D9"/>
      <rgbColor rgb="FFD0D7E2"/>
      <rgbColor rgb="FFF9D9C4"/>
      <rgbColor rgb="FF3366FF"/>
      <rgbColor rgb="FF3DCD58"/>
      <rgbColor rgb="FFA9A535"/>
      <rgbColor rgb="FFF0ECF9"/>
      <rgbColor rgb="FFEBF2FF"/>
      <rgbColor rgb="FFD4520A"/>
      <rgbColor rgb="FF64748B"/>
      <rgbColor rgb="FF94A3B8"/>
      <rgbColor rgb="FF1A2332"/>
      <rgbColor rgb="FF47B840"/>
      <rgbColor rgb="FF102E08"/>
      <rgbColor rgb="FF102E10"/>
      <rgbColor rgb="FFB45309"/>
      <rgbColor rgb="FFCD5845"/>
      <rgbColor rgb="FF6B47B8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F6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AM01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'Employee 1'!$N$10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1'!$M$11:$M$32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'Employee 1'!$N$11:$N$32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F-4659-BFF1-90AE41C4E367}"/>
            </c:ext>
          </c:extLst>
        </c:ser>
        <c:ser>
          <c:idx val="1"/>
          <c:order val="1"/>
          <c:tx>
            <c:strRef>
              <c:f>'Employee 1'!$O$10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1'!$M$11:$M$32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'Employee 1'!$O$11:$O$32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F-4659-BFF1-90AE41C4E367}"/>
            </c:ext>
          </c:extLst>
        </c:ser>
        <c:ser>
          <c:idx val="2"/>
          <c:order val="2"/>
          <c:tx>
            <c:strRef>
              <c:f>'Employee 1'!$P$10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1'!$M$11:$M$32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'Employee 1'!$P$11:$P$32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F-4659-BFF1-90AE41C4E367}"/>
            </c:ext>
          </c:extLst>
        </c:ser>
        <c:ser>
          <c:idx val="3"/>
          <c:order val="3"/>
          <c:tx>
            <c:strRef>
              <c:f>'Employee 1'!$Q$10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1'!$M$11:$M$32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'Employee 1'!$Q$11:$Q$32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DF-4659-BFF1-90AE41C4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087"/>
        <c:axId val="39596461"/>
      </c:radarChart>
      <c:catAx>
        <c:axId val="509310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96461"/>
        <c:crosses val="autoZero"/>
        <c:auto val="1"/>
        <c:lblAlgn val="ctr"/>
        <c:lblOffset val="100"/>
        <c:noMultiLvlLbl val="0"/>
      </c:catAx>
      <c:valAx>
        <c:axId val="39596461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310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AM02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'Mohamed MARZOUK'!$N$10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'Mohamed MARZOUK'!$M$11:$M$32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'Mohamed MARZOUK'!$N$11:$N$32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2-4381-AD2D-6E1FC9CF92E6}"/>
            </c:ext>
          </c:extLst>
        </c:ser>
        <c:ser>
          <c:idx val="1"/>
          <c:order val="1"/>
          <c:tx>
            <c:strRef>
              <c:f>'Mohamed MARZOUK'!$O$10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'Mohamed MARZOUK'!$M$11:$M$32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'Mohamed MARZOUK'!$O$11:$O$32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2-4381-AD2D-6E1FC9CF92E6}"/>
            </c:ext>
          </c:extLst>
        </c:ser>
        <c:ser>
          <c:idx val="2"/>
          <c:order val="2"/>
          <c:tx>
            <c:strRef>
              <c:f>'Mohamed MARZOUK'!$P$10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'Mohamed MARZOUK'!$M$11:$M$32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'Mohamed MARZOUK'!$P$11:$P$32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2-4381-AD2D-6E1FC9CF92E6}"/>
            </c:ext>
          </c:extLst>
        </c:ser>
        <c:ser>
          <c:idx val="3"/>
          <c:order val="3"/>
          <c:tx>
            <c:strRef>
              <c:f>'Mohamed MARZOUK'!$Q$10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'Mohamed MARZOUK'!$M$11:$M$32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'Mohamed MARZOUK'!$Q$11:$Q$32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22-4381-AD2D-6E1FC9CF9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13542"/>
        <c:axId val="25527037"/>
      </c:radarChart>
      <c:catAx>
        <c:axId val="6541354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27037"/>
        <c:crosses val="autoZero"/>
        <c:auto val="1"/>
        <c:lblAlgn val="ctr"/>
        <c:lblOffset val="100"/>
        <c:noMultiLvlLbl val="0"/>
      </c:catAx>
      <c:valAx>
        <c:axId val="25527037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135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AM03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'Basim El-Subihy'!$N$10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'Basim El-Subihy'!$M$11:$M$32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'Basim El-Subihy'!$N$11:$N$32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8-4AE2-8600-A0CF5642E04B}"/>
            </c:ext>
          </c:extLst>
        </c:ser>
        <c:ser>
          <c:idx val="1"/>
          <c:order val="1"/>
          <c:tx>
            <c:strRef>
              <c:f>'Basim El-Subihy'!$O$10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'Basim El-Subihy'!$M$11:$M$32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'Basim El-Subihy'!$O$11:$O$32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8-4AE2-8600-A0CF5642E04B}"/>
            </c:ext>
          </c:extLst>
        </c:ser>
        <c:ser>
          <c:idx val="2"/>
          <c:order val="2"/>
          <c:tx>
            <c:strRef>
              <c:f>'Basim El-Subihy'!$P$10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'Basim El-Subihy'!$M$11:$M$32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'Basim El-Subihy'!$P$11:$P$32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8-4AE2-8600-A0CF5642E04B}"/>
            </c:ext>
          </c:extLst>
        </c:ser>
        <c:ser>
          <c:idx val="3"/>
          <c:order val="3"/>
          <c:tx>
            <c:strRef>
              <c:f>'Basim El-Subihy'!$Q$10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'Basim El-Subihy'!$M$11:$M$32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'Basim El-Subihy'!$Q$11:$Q$32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C8-4AE2-8600-A0CF5642E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746"/>
        <c:axId val="75599996"/>
      </c:radarChart>
      <c:catAx>
        <c:axId val="73037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99996"/>
        <c:crosses val="autoZero"/>
        <c:auto val="1"/>
        <c:lblAlgn val="ctr"/>
        <c:lblOffset val="100"/>
        <c:noMultiLvlLbl val="0"/>
      </c:catAx>
      <c:valAx>
        <c:axId val="75599996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37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AM04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'Biju Mathew'!$N$10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'Biju Mathew'!$M$11:$M$32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'Biju Mathew'!$N$11:$N$32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D-48A9-BB52-03C1E79C3127}"/>
            </c:ext>
          </c:extLst>
        </c:ser>
        <c:ser>
          <c:idx val="1"/>
          <c:order val="1"/>
          <c:tx>
            <c:strRef>
              <c:f>'Biju Mathew'!$O$10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'Biju Mathew'!$M$11:$M$32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'Biju Mathew'!$O$11:$O$32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D-48A9-BB52-03C1E79C3127}"/>
            </c:ext>
          </c:extLst>
        </c:ser>
        <c:ser>
          <c:idx val="2"/>
          <c:order val="2"/>
          <c:tx>
            <c:strRef>
              <c:f>'Biju Mathew'!$P$10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'Biju Mathew'!$M$11:$M$32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'Biju Mathew'!$P$11:$P$32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FD-48A9-BB52-03C1E79C3127}"/>
            </c:ext>
          </c:extLst>
        </c:ser>
        <c:ser>
          <c:idx val="3"/>
          <c:order val="3"/>
          <c:tx>
            <c:strRef>
              <c:f>'Biju Mathew'!$Q$10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'Biju Mathew'!$M$11:$M$32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'Biju Mathew'!$Q$11:$Q$32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FD-48A9-BB52-03C1E79C3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63730"/>
        <c:axId val="95655663"/>
      </c:radarChart>
      <c:catAx>
        <c:axId val="652637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55663"/>
        <c:crosses val="autoZero"/>
        <c:auto val="1"/>
        <c:lblAlgn val="ctr"/>
        <c:lblOffset val="100"/>
        <c:noMultiLvlLbl val="0"/>
      </c:catAx>
      <c:valAx>
        <c:axId val="9565566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637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AM05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'Oseid Mohamemed Faqih'!$N$10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'Oseid Mohamemed Faqih'!$M$11:$M$32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'Oseid Mohamemed Faqih'!$N$11:$N$32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4-46C9-A755-3813C6C98935}"/>
            </c:ext>
          </c:extLst>
        </c:ser>
        <c:ser>
          <c:idx val="1"/>
          <c:order val="1"/>
          <c:tx>
            <c:strRef>
              <c:f>'Oseid Mohamemed Faqih'!$O$10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'Oseid Mohamemed Faqih'!$M$11:$M$32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'Oseid Mohamemed Faqih'!$O$11:$O$32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4-46C9-A755-3813C6C98935}"/>
            </c:ext>
          </c:extLst>
        </c:ser>
        <c:ser>
          <c:idx val="2"/>
          <c:order val="2"/>
          <c:tx>
            <c:strRef>
              <c:f>'Oseid Mohamemed Faqih'!$P$10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'Oseid Mohamemed Faqih'!$M$11:$M$32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'Oseid Mohamemed Faqih'!$P$11:$P$32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4-46C9-A755-3813C6C98935}"/>
            </c:ext>
          </c:extLst>
        </c:ser>
        <c:ser>
          <c:idx val="3"/>
          <c:order val="3"/>
          <c:tx>
            <c:strRef>
              <c:f>'Oseid Mohamemed Faqih'!$Q$10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'Oseid Mohamemed Faqih'!$M$11:$M$32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'Oseid Mohamemed Faqih'!$Q$11:$Q$32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4-46C9-A755-3813C6C9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9789"/>
        <c:axId val="36807981"/>
      </c:radarChart>
      <c:catAx>
        <c:axId val="382697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07981"/>
        <c:crosses val="autoZero"/>
        <c:auto val="1"/>
        <c:lblAlgn val="ctr"/>
        <c:lblOffset val="100"/>
        <c:noMultiLvlLbl val="0"/>
      </c:catAx>
      <c:valAx>
        <c:axId val="36807981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697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AM06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'Kamel Bedrane'!$N$10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'Kamel Bedrane'!$M$11:$M$32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'Kamel Bedrane'!$N$11:$N$32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7-4E40-A994-4DBC9E935A03}"/>
            </c:ext>
          </c:extLst>
        </c:ser>
        <c:ser>
          <c:idx val="1"/>
          <c:order val="1"/>
          <c:tx>
            <c:strRef>
              <c:f>'Kamel Bedrane'!$O$10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'Kamel Bedrane'!$M$11:$M$32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'Kamel Bedrane'!$O$11:$O$32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7-4E40-A994-4DBC9E935A03}"/>
            </c:ext>
          </c:extLst>
        </c:ser>
        <c:ser>
          <c:idx val="2"/>
          <c:order val="2"/>
          <c:tx>
            <c:strRef>
              <c:f>'Kamel Bedrane'!$P$10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'Kamel Bedrane'!$M$11:$M$32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'Kamel Bedrane'!$P$11:$P$32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7-4E40-A994-4DBC9E935A03}"/>
            </c:ext>
          </c:extLst>
        </c:ser>
        <c:ser>
          <c:idx val="3"/>
          <c:order val="3"/>
          <c:tx>
            <c:strRef>
              <c:f>'Kamel Bedrane'!$Q$10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'Kamel Bedrane'!$M$11:$M$32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'Kamel Bedrane'!$Q$11:$Q$32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E7-4E40-A994-4DBC9E93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7548"/>
        <c:axId val="15457647"/>
      </c:radarChart>
      <c:catAx>
        <c:axId val="686875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57647"/>
        <c:crosses val="autoZero"/>
        <c:auto val="1"/>
        <c:lblAlgn val="ctr"/>
        <c:lblOffset val="100"/>
        <c:noMultiLvlLbl val="0"/>
      </c:catAx>
      <c:valAx>
        <c:axId val="15457647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8754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AM07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'Moamen Mohamed Ahmed Ibrahim'!$N$10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'Moamen Mohamed Ahmed Ibrahim'!$M$11:$M$32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'Moamen Mohamed Ahmed Ibrahim'!$N$11:$N$32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0-47F8-B6FC-7D0F2AADA393}"/>
            </c:ext>
          </c:extLst>
        </c:ser>
        <c:ser>
          <c:idx val="1"/>
          <c:order val="1"/>
          <c:tx>
            <c:strRef>
              <c:f>'Moamen Mohamed Ahmed Ibrahim'!$O$10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'Moamen Mohamed Ahmed Ibrahim'!$M$11:$M$32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'Moamen Mohamed Ahmed Ibrahim'!$O$11:$O$32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0-47F8-B6FC-7D0F2AADA393}"/>
            </c:ext>
          </c:extLst>
        </c:ser>
        <c:ser>
          <c:idx val="2"/>
          <c:order val="2"/>
          <c:tx>
            <c:strRef>
              <c:f>'Moamen Mohamed Ahmed Ibrahim'!$P$10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'Moamen Mohamed Ahmed Ibrahim'!$M$11:$M$32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'Moamen Mohamed Ahmed Ibrahim'!$P$11:$P$32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0-47F8-B6FC-7D0F2AADA393}"/>
            </c:ext>
          </c:extLst>
        </c:ser>
        <c:ser>
          <c:idx val="3"/>
          <c:order val="3"/>
          <c:tx>
            <c:strRef>
              <c:f>'Moamen Mohamed Ahmed Ibrahim'!$Q$10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'Moamen Mohamed Ahmed Ibrahim'!$M$11:$M$32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'Moamen Mohamed Ahmed Ibrahim'!$Q$11:$Q$32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80-47F8-B6FC-7D0F2AAD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3501"/>
        <c:axId val="581184"/>
      </c:radarChart>
      <c:catAx>
        <c:axId val="148435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184"/>
        <c:crosses val="autoZero"/>
        <c:auto val="1"/>
        <c:lblAlgn val="ctr"/>
        <c:lblOffset val="100"/>
        <c:noMultiLvlLbl val="0"/>
      </c:catAx>
      <c:valAx>
        <c:axId val="581184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435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AM08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'Ahmed Abdel-Maugod'!$N$10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'Ahmed Abdel-Maugod'!$M$11:$M$32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'Ahmed Abdel-Maugod'!$N$11:$N$32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3-4DD9-B7A1-F18380B0AEEF}"/>
            </c:ext>
          </c:extLst>
        </c:ser>
        <c:ser>
          <c:idx val="1"/>
          <c:order val="1"/>
          <c:tx>
            <c:strRef>
              <c:f>'Ahmed Abdel-Maugod'!$O$10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'Ahmed Abdel-Maugod'!$M$11:$M$32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'Ahmed Abdel-Maugod'!$O$11:$O$32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3-4DD9-B7A1-F18380B0AEEF}"/>
            </c:ext>
          </c:extLst>
        </c:ser>
        <c:ser>
          <c:idx val="2"/>
          <c:order val="2"/>
          <c:tx>
            <c:strRef>
              <c:f>'Ahmed Abdel-Maugod'!$P$10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'Ahmed Abdel-Maugod'!$M$11:$M$32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'Ahmed Abdel-Maugod'!$P$11:$P$32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3-4DD9-B7A1-F18380B0AEEF}"/>
            </c:ext>
          </c:extLst>
        </c:ser>
        <c:ser>
          <c:idx val="3"/>
          <c:order val="3"/>
          <c:tx>
            <c:strRef>
              <c:f>'Ahmed Abdel-Maugod'!$Q$10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'Ahmed Abdel-Maugod'!$M$11:$M$32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'Ahmed Abdel-Maugod'!$Q$11:$Q$32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93-4DD9-B7A1-F18380B0A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21107"/>
        <c:axId val="17257333"/>
      </c:radarChart>
      <c:catAx>
        <c:axId val="643211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57333"/>
        <c:crosses val="autoZero"/>
        <c:auto val="1"/>
        <c:lblAlgn val="ctr"/>
        <c:lblOffset val="100"/>
        <c:noMultiLvlLbl val="0"/>
      </c:catAx>
      <c:valAx>
        <c:axId val="1725733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211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AM09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'Moteeb Albaqami'!$N$10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'Moteeb Albaqami'!$M$11:$M$32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'Moteeb Albaqami'!$N$11:$N$32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7-468B-B67C-A36A1059F005}"/>
            </c:ext>
          </c:extLst>
        </c:ser>
        <c:ser>
          <c:idx val="1"/>
          <c:order val="1"/>
          <c:tx>
            <c:strRef>
              <c:f>'Moteeb Albaqami'!$O$10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'Moteeb Albaqami'!$M$11:$M$32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'Moteeb Albaqami'!$O$11:$O$32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7-468B-B67C-A36A1059F005}"/>
            </c:ext>
          </c:extLst>
        </c:ser>
        <c:ser>
          <c:idx val="2"/>
          <c:order val="2"/>
          <c:tx>
            <c:strRef>
              <c:f>'Moteeb Albaqami'!$P$10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'Moteeb Albaqami'!$M$11:$M$32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'Moteeb Albaqami'!$P$11:$P$32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77-468B-B67C-A36A1059F005}"/>
            </c:ext>
          </c:extLst>
        </c:ser>
        <c:ser>
          <c:idx val="3"/>
          <c:order val="3"/>
          <c:tx>
            <c:strRef>
              <c:f>'Moteeb Albaqami'!$Q$10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'Moteeb Albaqami'!$M$11:$M$32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'Moteeb Albaqami'!$Q$11:$Q$32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77-468B-B67C-A36A1059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1337"/>
        <c:axId val="84318343"/>
      </c:radarChart>
      <c:catAx>
        <c:axId val="4354133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18343"/>
        <c:crosses val="autoZero"/>
        <c:auto val="1"/>
        <c:lblAlgn val="ctr"/>
        <c:lblOffset val="100"/>
        <c:noMultiLvlLbl val="0"/>
      </c:catAx>
      <c:valAx>
        <c:axId val="8431834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413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AM10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'Anny Rodrigues de Assis 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'Anny Rodrigues de Assis 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'Anny Rodrigues de Assis 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B-4AEA-9C4C-E919C4BBD005}"/>
            </c:ext>
          </c:extLst>
        </c:ser>
        <c:ser>
          <c:idx val="1"/>
          <c:order val="1"/>
          <c:tx>
            <c:strRef>
              <c:f>'Anny Rodrigues de Assis 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'Anny Rodrigues de Assis 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'Anny Rodrigues de Assis 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B-4AEA-9C4C-E919C4BBD005}"/>
            </c:ext>
          </c:extLst>
        </c:ser>
        <c:ser>
          <c:idx val="2"/>
          <c:order val="2"/>
          <c:tx>
            <c:strRef>
              <c:f>'Anny Rodrigues de Assis 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'Anny Rodrigues de Assis 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'Anny Rodrigues de Assis 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DB-4AEA-9C4C-E919C4BBD005}"/>
            </c:ext>
          </c:extLst>
        </c:ser>
        <c:ser>
          <c:idx val="3"/>
          <c:order val="3"/>
          <c:tx>
            <c:strRef>
              <c:f>'Anny Rodrigues de Assis 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'Anny Rodrigues de Assis 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'Anny Rodrigues de Assis 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DB-4AEA-9C4C-E919C4BBD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96611"/>
        <c:axId val="39873454"/>
      </c:radarChart>
      <c:catAx>
        <c:axId val="883966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73454"/>
        <c:crosses val="autoZero"/>
        <c:auto val="1"/>
        <c:lblAlgn val="ctr"/>
        <c:lblOffset val="100"/>
        <c:noMultiLvlLbl val="0"/>
      </c:catAx>
      <c:valAx>
        <c:axId val="39873454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3966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AM11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'Eduardo Salles de Carvalho'!$N$10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'Eduardo Salles de Carvalho'!$M$11:$M$32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'Eduardo Salles de Carvalho'!$N$11:$N$32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6-462B-A485-98040FFEB590}"/>
            </c:ext>
          </c:extLst>
        </c:ser>
        <c:ser>
          <c:idx val="1"/>
          <c:order val="1"/>
          <c:tx>
            <c:strRef>
              <c:f>'Eduardo Salles de Carvalho'!$O$10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'Eduardo Salles de Carvalho'!$M$11:$M$32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'Eduardo Salles de Carvalho'!$O$11:$O$32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6-462B-A485-98040FFEB590}"/>
            </c:ext>
          </c:extLst>
        </c:ser>
        <c:ser>
          <c:idx val="2"/>
          <c:order val="2"/>
          <c:tx>
            <c:strRef>
              <c:f>'Eduardo Salles de Carvalho'!$P$10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'Eduardo Salles de Carvalho'!$M$11:$M$32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'Eduardo Salles de Carvalho'!$P$11:$P$32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6-462B-A485-98040FFEB590}"/>
            </c:ext>
          </c:extLst>
        </c:ser>
        <c:ser>
          <c:idx val="3"/>
          <c:order val="3"/>
          <c:tx>
            <c:strRef>
              <c:f>'Eduardo Salles de Carvalho'!$Q$10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'Eduardo Salles de Carvalho'!$M$11:$M$32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'Eduardo Salles de Carvalho'!$Q$11:$Q$32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6-462B-A485-98040FFEB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2518"/>
        <c:axId val="26556534"/>
      </c:radarChart>
      <c:catAx>
        <c:axId val="2060251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56534"/>
        <c:crosses val="autoZero"/>
        <c:auto val="1"/>
        <c:lblAlgn val="ctr"/>
        <c:lblOffset val="100"/>
        <c:noMultiLvlLbl val="0"/>
      </c:catAx>
      <c:valAx>
        <c:axId val="26556534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025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AM12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'Marco Antonio Martins'!$N$10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'Marco Antonio Martins'!$M$11:$M$32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'Marco Antonio Martins'!$N$11:$N$32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2-4B6A-A907-8CA66C9EE6A8}"/>
            </c:ext>
          </c:extLst>
        </c:ser>
        <c:ser>
          <c:idx val="1"/>
          <c:order val="1"/>
          <c:tx>
            <c:strRef>
              <c:f>'Marco Antonio Martins'!$O$10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'Marco Antonio Martins'!$M$11:$M$32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'Marco Antonio Martins'!$O$11:$O$32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2-4B6A-A907-8CA66C9EE6A8}"/>
            </c:ext>
          </c:extLst>
        </c:ser>
        <c:ser>
          <c:idx val="2"/>
          <c:order val="2"/>
          <c:tx>
            <c:strRef>
              <c:f>'Marco Antonio Martins'!$P$10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'Marco Antonio Martins'!$M$11:$M$32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'Marco Antonio Martins'!$P$11:$P$32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2-4B6A-A907-8CA66C9EE6A8}"/>
            </c:ext>
          </c:extLst>
        </c:ser>
        <c:ser>
          <c:idx val="3"/>
          <c:order val="3"/>
          <c:tx>
            <c:strRef>
              <c:f>'Marco Antonio Martins'!$Q$10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'Marco Antonio Martins'!$M$11:$M$32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'Marco Antonio Martins'!$Q$11:$Q$32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42-4B6A-A907-8CA66C9EE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4067"/>
        <c:axId val="49055679"/>
      </c:radarChart>
      <c:catAx>
        <c:axId val="52340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55679"/>
        <c:crosses val="autoZero"/>
        <c:auto val="1"/>
        <c:lblAlgn val="ctr"/>
        <c:lblOffset val="100"/>
        <c:noMultiLvlLbl val="0"/>
      </c:catAx>
      <c:valAx>
        <c:axId val="49055679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40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AM13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'AM13'!$N$10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'AM13'!$N$11:$N$32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D-432E-A304-0EEBE23005F3}"/>
            </c:ext>
          </c:extLst>
        </c:ser>
        <c:ser>
          <c:idx val="1"/>
          <c:order val="1"/>
          <c:tx>
            <c:strRef>
              <c:f>'AM13'!$O$10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'AM13'!$O$11:$O$32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D-432E-A304-0EEBE23005F3}"/>
            </c:ext>
          </c:extLst>
        </c:ser>
        <c:ser>
          <c:idx val="2"/>
          <c:order val="2"/>
          <c:tx>
            <c:strRef>
              <c:f>'AM13'!$P$10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'AM13'!$P$11:$P$32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D-432E-A304-0EEBE23005F3}"/>
            </c:ext>
          </c:extLst>
        </c:ser>
        <c:ser>
          <c:idx val="3"/>
          <c:order val="3"/>
          <c:tx>
            <c:strRef>
              <c:f>'AM13'!$Q$10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'AM13'!$Q$11:$Q$32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AD-432E-A304-0EEBE2300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58850"/>
        <c:axId val="41321217"/>
      </c:radarChart>
      <c:catAx>
        <c:axId val="796588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21217"/>
        <c:crosses val="autoZero"/>
        <c:auto val="1"/>
        <c:lblAlgn val="ctr"/>
        <c:lblOffset val="100"/>
        <c:noMultiLvlLbl val="0"/>
      </c:catAx>
      <c:valAx>
        <c:axId val="41321217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588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AM14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'AM14'!$N$10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'AM14'!$N$11:$N$32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5-4B72-846D-F1599784CFB7}"/>
            </c:ext>
          </c:extLst>
        </c:ser>
        <c:ser>
          <c:idx val="1"/>
          <c:order val="1"/>
          <c:tx>
            <c:strRef>
              <c:f>'AM14'!$O$10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'AM14'!$O$11:$O$32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5-4B72-846D-F1599784CFB7}"/>
            </c:ext>
          </c:extLst>
        </c:ser>
        <c:ser>
          <c:idx val="2"/>
          <c:order val="2"/>
          <c:tx>
            <c:strRef>
              <c:f>'AM14'!$P$10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'AM14'!$P$11:$P$32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5-4B72-846D-F1599784CFB7}"/>
            </c:ext>
          </c:extLst>
        </c:ser>
        <c:ser>
          <c:idx val="3"/>
          <c:order val="3"/>
          <c:tx>
            <c:strRef>
              <c:f>'AM14'!$Q$10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'AM14'!$Q$11:$Q$32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55-4B72-846D-F1599784C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6560"/>
        <c:axId val="46257000"/>
      </c:radarChart>
      <c:catAx>
        <c:axId val="414465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57000"/>
        <c:crosses val="autoZero"/>
        <c:auto val="1"/>
        <c:lblAlgn val="ctr"/>
        <c:lblOffset val="100"/>
        <c:noMultiLvlLbl val="0"/>
      </c:catAx>
      <c:valAx>
        <c:axId val="46257000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465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AM15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'AM15'!$N$10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'AM15'!$N$11:$N$32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2-43B1-80B1-5EC7ACBE1B19}"/>
            </c:ext>
          </c:extLst>
        </c:ser>
        <c:ser>
          <c:idx val="1"/>
          <c:order val="1"/>
          <c:tx>
            <c:strRef>
              <c:f>'AM15'!$O$10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'AM15'!$O$11:$O$32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2-43B1-80B1-5EC7ACBE1B19}"/>
            </c:ext>
          </c:extLst>
        </c:ser>
        <c:ser>
          <c:idx val="2"/>
          <c:order val="2"/>
          <c:tx>
            <c:strRef>
              <c:f>'AM15'!$P$10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'AM15'!$P$11:$P$32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2-43B1-80B1-5EC7ACBE1B19}"/>
            </c:ext>
          </c:extLst>
        </c:ser>
        <c:ser>
          <c:idx val="3"/>
          <c:order val="3"/>
          <c:tx>
            <c:strRef>
              <c:f>'AM15'!$Q$10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'AM15'!$Q$11:$Q$32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2-43B1-80B1-5EC7ACBE1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1376"/>
        <c:axId val="1519659"/>
      </c:radarChart>
      <c:catAx>
        <c:axId val="373313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9659"/>
        <c:crosses val="autoZero"/>
        <c:auto val="1"/>
        <c:lblAlgn val="ctr"/>
        <c:lblOffset val="100"/>
        <c:noMultiLvlLbl val="0"/>
      </c:catAx>
      <c:valAx>
        <c:axId val="1519659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313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AM16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'AM16'!$N$10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'AM16'!$M$11:$M$32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'AM16'!$N$11:$N$32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4-493E-A431-0F8F658EC7E2}"/>
            </c:ext>
          </c:extLst>
        </c:ser>
        <c:ser>
          <c:idx val="1"/>
          <c:order val="1"/>
          <c:tx>
            <c:strRef>
              <c:f>'AM16'!$O$10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'AM16'!$M$11:$M$32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'AM16'!$O$11:$O$32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4-493E-A431-0F8F658EC7E2}"/>
            </c:ext>
          </c:extLst>
        </c:ser>
        <c:ser>
          <c:idx val="2"/>
          <c:order val="2"/>
          <c:tx>
            <c:strRef>
              <c:f>'AM16'!$P$10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'AM16'!$M$11:$M$32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'AM16'!$P$11:$P$32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4-493E-A431-0F8F658EC7E2}"/>
            </c:ext>
          </c:extLst>
        </c:ser>
        <c:ser>
          <c:idx val="3"/>
          <c:order val="3"/>
          <c:tx>
            <c:strRef>
              <c:f>'AM16'!$Q$10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'AM16'!$M$11:$M$32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'AM16'!$Q$11:$Q$32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4-493E-A431-0F8F658EC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1524"/>
        <c:axId val="28089047"/>
      </c:radarChart>
      <c:catAx>
        <c:axId val="938015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89047"/>
        <c:crosses val="autoZero"/>
        <c:auto val="1"/>
        <c:lblAlgn val="ctr"/>
        <c:lblOffset val="100"/>
        <c:noMultiLvlLbl val="0"/>
      </c:catAx>
      <c:valAx>
        <c:axId val="28089047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015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AM17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'AM17'!$N$10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'AM17'!$M$11:$M$32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'AM17'!$N$11:$N$32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A-4F52-AEE5-858A587954D5}"/>
            </c:ext>
          </c:extLst>
        </c:ser>
        <c:ser>
          <c:idx val="1"/>
          <c:order val="1"/>
          <c:tx>
            <c:strRef>
              <c:f>'AM17'!$O$10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'AM17'!$M$11:$M$32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'AM17'!$O$11:$O$32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A-4F52-AEE5-858A587954D5}"/>
            </c:ext>
          </c:extLst>
        </c:ser>
        <c:ser>
          <c:idx val="2"/>
          <c:order val="2"/>
          <c:tx>
            <c:strRef>
              <c:f>'AM17'!$P$10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'AM17'!$M$11:$M$32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'AM17'!$P$11:$P$32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A-4F52-AEE5-858A587954D5}"/>
            </c:ext>
          </c:extLst>
        </c:ser>
        <c:ser>
          <c:idx val="3"/>
          <c:order val="3"/>
          <c:tx>
            <c:strRef>
              <c:f>'AM17'!$Q$10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'AM17'!$M$11:$M$32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'AM17'!$Q$11:$Q$32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A-4F52-AEE5-858A58795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8609"/>
        <c:axId val="45752971"/>
      </c:radarChart>
      <c:catAx>
        <c:axId val="6614860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52971"/>
        <c:crosses val="autoZero"/>
        <c:auto val="1"/>
        <c:lblAlgn val="ctr"/>
        <c:lblOffset val="100"/>
        <c:noMultiLvlLbl val="0"/>
      </c:catAx>
      <c:valAx>
        <c:axId val="45752971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486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AM18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'AM18'!$N$10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'AM18'!$M$11:$M$32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'AM18'!$N$11:$N$32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7-4E19-BCD1-B6EF583322B8}"/>
            </c:ext>
          </c:extLst>
        </c:ser>
        <c:ser>
          <c:idx val="1"/>
          <c:order val="1"/>
          <c:tx>
            <c:strRef>
              <c:f>'AM18'!$O$10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'AM18'!$M$11:$M$32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'AM18'!$O$11:$O$32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7-4E19-BCD1-B6EF583322B8}"/>
            </c:ext>
          </c:extLst>
        </c:ser>
        <c:ser>
          <c:idx val="2"/>
          <c:order val="2"/>
          <c:tx>
            <c:strRef>
              <c:f>'AM18'!$P$10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'AM18'!$M$11:$M$32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'AM18'!$P$11:$P$32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7-4E19-BCD1-B6EF583322B8}"/>
            </c:ext>
          </c:extLst>
        </c:ser>
        <c:ser>
          <c:idx val="3"/>
          <c:order val="3"/>
          <c:tx>
            <c:strRef>
              <c:f>'AM18'!$Q$10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'AM18'!$M$11:$M$32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'AM18'!$Q$11:$Q$32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7-4E19-BCD1-B6EF5833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64832"/>
        <c:axId val="4621879"/>
      </c:radarChart>
      <c:catAx>
        <c:axId val="778648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1879"/>
        <c:crosses val="autoZero"/>
        <c:auto val="1"/>
        <c:lblAlgn val="ctr"/>
        <c:lblOffset val="100"/>
        <c:noMultiLvlLbl val="0"/>
      </c:catAx>
      <c:valAx>
        <c:axId val="4621879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648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AM19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'Brian Casserly'!$N$10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'Brian Casserly'!$M$11:$M$32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'Brian Casserly'!$N$11:$N$32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7B0-9CEF-4660A683DBAC}"/>
            </c:ext>
          </c:extLst>
        </c:ser>
        <c:ser>
          <c:idx val="1"/>
          <c:order val="1"/>
          <c:tx>
            <c:strRef>
              <c:f>'Brian Casserly'!$O$10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'Brian Casserly'!$M$11:$M$32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'Brian Casserly'!$O$11:$O$32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7-47B0-9CEF-4660A683DBAC}"/>
            </c:ext>
          </c:extLst>
        </c:ser>
        <c:ser>
          <c:idx val="2"/>
          <c:order val="2"/>
          <c:tx>
            <c:strRef>
              <c:f>'Brian Casserly'!$P$10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'Brian Casserly'!$M$11:$M$32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'Brian Casserly'!$P$11:$P$32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7-47B0-9CEF-4660A683DBAC}"/>
            </c:ext>
          </c:extLst>
        </c:ser>
        <c:ser>
          <c:idx val="3"/>
          <c:order val="3"/>
          <c:tx>
            <c:strRef>
              <c:f>'Brian Casserly'!$Q$10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'Brian Casserly'!$M$11:$M$32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'Brian Casserly'!$Q$11:$Q$32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7-47B0-9CEF-4660A683D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5211"/>
        <c:axId val="60296586"/>
      </c:radarChart>
      <c:catAx>
        <c:axId val="507052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96586"/>
        <c:crosses val="autoZero"/>
        <c:auto val="1"/>
        <c:lblAlgn val="ctr"/>
        <c:lblOffset val="100"/>
        <c:noMultiLvlLbl val="0"/>
      </c:catAx>
      <c:valAx>
        <c:axId val="60296586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052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AM20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'Vishal Nayak'!$N$10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'Vishal Nayak'!$M$11:$M$32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'Vishal Nayak'!$N$11:$N$32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A-4AD3-9814-0FC7E8905C89}"/>
            </c:ext>
          </c:extLst>
        </c:ser>
        <c:ser>
          <c:idx val="1"/>
          <c:order val="1"/>
          <c:tx>
            <c:strRef>
              <c:f>'Vishal Nayak'!$O$10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'Vishal Nayak'!$M$11:$M$32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'Vishal Nayak'!$O$11:$O$32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A-4AD3-9814-0FC7E8905C89}"/>
            </c:ext>
          </c:extLst>
        </c:ser>
        <c:ser>
          <c:idx val="2"/>
          <c:order val="2"/>
          <c:tx>
            <c:strRef>
              <c:f>'Vishal Nayak'!$P$10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'Vishal Nayak'!$M$11:$M$32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'Vishal Nayak'!$P$11:$P$32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A-4AD3-9814-0FC7E8905C89}"/>
            </c:ext>
          </c:extLst>
        </c:ser>
        <c:ser>
          <c:idx val="3"/>
          <c:order val="3"/>
          <c:tx>
            <c:strRef>
              <c:f>'Vishal Nayak'!$Q$10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'Vishal Nayak'!$M$11:$M$32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'Vishal Nayak'!$Q$11:$Q$32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CA-4AD3-9814-0FC7E890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3201"/>
        <c:axId val="63179856"/>
      </c:radarChart>
      <c:catAx>
        <c:axId val="280532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79856"/>
        <c:crosses val="autoZero"/>
        <c:auto val="1"/>
        <c:lblAlgn val="ctr"/>
        <c:lblOffset val="100"/>
        <c:noMultiLvlLbl val="0"/>
      </c:catAx>
      <c:valAx>
        <c:axId val="63179856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532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AM21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'Franky Chan'!$N$10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'Franky Chan'!$M$11:$M$32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'Franky Chan'!$N$11:$N$32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A-4053-8C0C-0740370FFB33}"/>
            </c:ext>
          </c:extLst>
        </c:ser>
        <c:ser>
          <c:idx val="1"/>
          <c:order val="1"/>
          <c:tx>
            <c:strRef>
              <c:f>'Franky Chan'!$O$10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'Franky Chan'!$M$11:$M$32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'Franky Chan'!$O$11:$O$32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A-4053-8C0C-0740370FFB33}"/>
            </c:ext>
          </c:extLst>
        </c:ser>
        <c:ser>
          <c:idx val="2"/>
          <c:order val="2"/>
          <c:tx>
            <c:strRef>
              <c:f>'Franky Chan'!$P$10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'Franky Chan'!$M$11:$M$32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'Franky Chan'!$P$11:$P$32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A-4053-8C0C-0740370FFB33}"/>
            </c:ext>
          </c:extLst>
        </c:ser>
        <c:ser>
          <c:idx val="3"/>
          <c:order val="3"/>
          <c:tx>
            <c:strRef>
              <c:f>'Franky Chan'!$Q$10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'Franky Chan'!$M$11:$M$32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'Franky Chan'!$Q$11:$Q$32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8A-4053-8C0C-0740370F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78361"/>
        <c:axId val="81272047"/>
      </c:radarChart>
      <c:catAx>
        <c:axId val="375783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72047"/>
        <c:crosses val="autoZero"/>
        <c:auto val="1"/>
        <c:lblAlgn val="ctr"/>
        <c:lblOffset val="100"/>
        <c:noMultiLvlLbl val="0"/>
      </c:catAx>
      <c:valAx>
        <c:axId val="81272047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783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AM22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'AM22'!$N$10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'AM22'!$M$11:$M$32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'AM22'!$N$11:$N$32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9-4D18-AF10-8B64F105D333}"/>
            </c:ext>
          </c:extLst>
        </c:ser>
        <c:ser>
          <c:idx val="1"/>
          <c:order val="1"/>
          <c:tx>
            <c:strRef>
              <c:f>'AM22'!$O$10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'AM22'!$M$11:$M$32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'AM22'!$O$11:$O$32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9-4D18-AF10-8B64F105D333}"/>
            </c:ext>
          </c:extLst>
        </c:ser>
        <c:ser>
          <c:idx val="2"/>
          <c:order val="2"/>
          <c:tx>
            <c:strRef>
              <c:f>'AM22'!$P$10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'AM22'!$M$11:$M$32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'AM22'!$P$11:$P$32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9-4D18-AF10-8B64F105D333}"/>
            </c:ext>
          </c:extLst>
        </c:ser>
        <c:ser>
          <c:idx val="3"/>
          <c:order val="3"/>
          <c:tx>
            <c:strRef>
              <c:f>'AM22'!$Q$10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'AM22'!$M$11:$M$32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'AM22'!$Q$11:$Q$32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F9-4D18-AF10-8B64F105D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0765"/>
        <c:axId val="62103295"/>
      </c:radarChart>
      <c:catAx>
        <c:axId val="182607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03295"/>
        <c:crosses val="autoZero"/>
        <c:auto val="1"/>
        <c:lblAlgn val="ctr"/>
        <c:lblOffset val="100"/>
        <c:noMultiLvlLbl val="0"/>
      </c:catAx>
      <c:valAx>
        <c:axId val="62103295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607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AM23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'AM23'!$N$10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'AM23'!$N$11:$N$32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2-4B76-9579-966CF9667165}"/>
            </c:ext>
          </c:extLst>
        </c:ser>
        <c:ser>
          <c:idx val="1"/>
          <c:order val="1"/>
          <c:tx>
            <c:strRef>
              <c:f>'AM23'!$O$10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'AM23'!$O$11:$O$32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2-4B76-9579-966CF9667165}"/>
            </c:ext>
          </c:extLst>
        </c:ser>
        <c:ser>
          <c:idx val="2"/>
          <c:order val="2"/>
          <c:tx>
            <c:strRef>
              <c:f>'AM23'!$P$10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'AM23'!$P$11:$P$32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A2-4B76-9579-966CF9667165}"/>
            </c:ext>
          </c:extLst>
        </c:ser>
        <c:ser>
          <c:idx val="3"/>
          <c:order val="3"/>
          <c:tx>
            <c:strRef>
              <c:f>'AM23'!$Q$10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'AM23'!$M$11:$M$32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'AM23'!$Q$11:$Q$32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A2-4B76-9579-966CF966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394"/>
        <c:axId val="96011953"/>
      </c:radarChart>
      <c:catAx>
        <c:axId val="216633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11953"/>
        <c:crosses val="autoZero"/>
        <c:auto val="1"/>
        <c:lblAlgn val="ctr"/>
        <c:lblOffset val="100"/>
        <c:noMultiLvlLbl val="0"/>
      </c:catAx>
      <c:valAx>
        <c:axId val="9601195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6339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AM24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'AM24'!$N$10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'AM24'!$N$11:$N$32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9-4A5C-AC21-D6432B044A12}"/>
            </c:ext>
          </c:extLst>
        </c:ser>
        <c:ser>
          <c:idx val="1"/>
          <c:order val="1"/>
          <c:tx>
            <c:strRef>
              <c:f>'AM24'!$O$10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'AM24'!$O$11:$O$32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9-4A5C-AC21-D6432B044A12}"/>
            </c:ext>
          </c:extLst>
        </c:ser>
        <c:ser>
          <c:idx val="2"/>
          <c:order val="2"/>
          <c:tx>
            <c:strRef>
              <c:f>'AM24'!$P$10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'AM24'!$P$11:$P$32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9-4A5C-AC21-D6432B044A12}"/>
            </c:ext>
          </c:extLst>
        </c:ser>
        <c:ser>
          <c:idx val="3"/>
          <c:order val="3"/>
          <c:tx>
            <c:strRef>
              <c:f>'AM24'!$Q$10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'AM24'!$M$11:$M$32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'AM24'!$Q$11:$Q$32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9-4A5C-AC21-D6432B044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48061"/>
        <c:axId val="7044523"/>
      </c:radarChart>
      <c:catAx>
        <c:axId val="250480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4523"/>
        <c:crosses val="autoZero"/>
        <c:auto val="1"/>
        <c:lblAlgn val="ctr"/>
        <c:lblOffset val="100"/>
        <c:noMultiLvlLbl val="0"/>
      </c:catAx>
      <c:valAx>
        <c:axId val="704452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480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AM25 – Capability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'AM25'!$N$10</c:f>
              <c:strCache>
                <c:ptCount val="1"/>
                <c:pt idx="0">
                  <c:v>Self</c:v>
                </c:pt>
              </c:strCache>
            </c:strRef>
          </c:tx>
          <c:spPr>
            <a:solidFill>
              <a:srgbClr val="A9A535"/>
            </a:solidFill>
            <a:ln w="0">
              <a:solidFill>
                <a:srgbClr val="00A9A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'AM25'!$N$11:$N$32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C-4B59-8B92-DCB858F5B0CB}"/>
            </c:ext>
          </c:extLst>
        </c:ser>
        <c:ser>
          <c:idx val="1"/>
          <c:order val="1"/>
          <c:tx>
            <c:strRef>
              <c:f>'AM25'!$O$10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rgbClr val="62FE35"/>
            </a:solidFill>
            <a:ln w="0">
              <a:solidFill>
                <a:srgbClr val="0F62F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'AM25'!$O$11:$O$32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C-4B59-8B92-DCB858F5B0CB}"/>
            </c:ext>
          </c:extLst>
        </c:ser>
        <c:ser>
          <c:idx val="2"/>
          <c:order val="2"/>
          <c:tx>
            <c:strRef>
              <c:f>'AM25'!$P$10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rgbClr val="CD5845"/>
            </a:solidFill>
            <a:ln w="21960">
              <a:solidFill>
                <a:srgbClr val="3DCD5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'AM25'!$P$11:$P$32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2C-4B59-8B92-DCB858F5B0CB}"/>
            </c:ext>
          </c:extLst>
        </c:ser>
        <c:ser>
          <c:idx val="3"/>
          <c:order val="3"/>
          <c:tx>
            <c:strRef>
              <c:f>'AM25'!$Q$10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10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'AM25'!$M$11:$M$32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'AM25'!$Q$11:$Q$32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2C-4B59-8B92-DCB858F5B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7754"/>
        <c:axId val="97926365"/>
      </c:radarChart>
      <c:catAx>
        <c:axId val="1543775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26365"/>
        <c:crosses val="autoZero"/>
        <c:auto val="1"/>
        <c:lblAlgn val="ctr"/>
        <c:lblOffset val="100"/>
        <c:noMultiLvlLbl val="0"/>
      </c:catAx>
      <c:valAx>
        <c:axId val="97926365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377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MEA Zone — Capability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'▶ Zone MEA'!$E$7</c:f>
              <c:strCache>
                <c:ptCount val="1"/>
                <c:pt idx="0">
                  <c:v>AM01
Account Manage
Account 1</c:v>
                </c:pt>
              </c:strCache>
            </c:strRef>
          </c:tx>
          <c:spPr>
            <a:solidFill>
              <a:srgbClr val="9E4D40"/>
            </a:solidFill>
            <a:ln w="18000">
              <a:solidFill>
                <a:srgbClr val="009E4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MEA'!$E$8:$E$29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B-4265-8C70-EC34CF17BF06}"/>
            </c:ext>
          </c:extLst>
        </c:ser>
        <c:ser>
          <c:idx val="1"/>
          <c:order val="1"/>
          <c:tx>
            <c:strRef>
              <c:f>'▶ Zone MEA'!$F$7</c:f>
              <c:strCache>
                <c:ptCount val="1"/>
                <c:pt idx="0">
                  <c:v>AM02
Account Manage
Account 2</c:v>
                </c:pt>
              </c:strCache>
            </c:strRef>
          </c:tx>
          <c:spPr>
            <a:solidFill>
              <a:srgbClr val="62FE40"/>
            </a:solidFill>
            <a:ln w="18000">
              <a:solidFill>
                <a:srgbClr val="0F62F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MEA'!$F$8:$F$29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B-4265-8C70-EC34CF17BF06}"/>
            </c:ext>
          </c:extLst>
        </c:ser>
        <c:ser>
          <c:idx val="2"/>
          <c:order val="2"/>
          <c:tx>
            <c:strRef>
              <c:f>'▶ Zone MEA'!$G$7</c:f>
              <c:strCache>
                <c:ptCount val="1"/>
                <c:pt idx="0">
                  <c:v>AM03
Account Manage
Account 3</c:v>
                </c:pt>
              </c:strCache>
            </c:strRef>
          </c:tx>
          <c:spPr>
            <a:solidFill>
              <a:srgbClr val="520A40"/>
            </a:solidFill>
            <a:ln w="18000">
              <a:solidFill>
                <a:srgbClr val="D4520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MEA'!$G$8:$G$29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B-4265-8C70-EC34CF17BF06}"/>
            </c:ext>
          </c:extLst>
        </c:ser>
        <c:ser>
          <c:idx val="3"/>
          <c:order val="3"/>
          <c:tx>
            <c:strRef>
              <c:f>'▶ Zone MEA'!$H$7</c:f>
              <c:strCache>
                <c:ptCount val="1"/>
                <c:pt idx="0">
                  <c:v>AM04
Account Manage
Account 4</c:v>
                </c:pt>
              </c:strCache>
            </c:strRef>
          </c:tx>
          <c:spPr>
            <a:solidFill>
              <a:srgbClr val="47B840"/>
            </a:solidFill>
            <a:ln w="18000">
              <a:solidFill>
                <a:srgbClr val="6B47B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MEA'!$H$8:$H$29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1B-4265-8C70-EC34CF17BF06}"/>
            </c:ext>
          </c:extLst>
        </c:ser>
        <c:ser>
          <c:idx val="4"/>
          <c:order val="4"/>
          <c:tx>
            <c:strRef>
              <c:f>'▶ Zone MEA'!$I$7</c:f>
              <c:strCache>
                <c:ptCount val="1"/>
                <c:pt idx="0">
                  <c:v>AM05
Account Manage
Account 5</c:v>
                </c:pt>
              </c:strCache>
            </c:strRef>
          </c:tx>
          <c:spPr>
            <a:solidFill>
              <a:srgbClr val="A9A540"/>
            </a:solidFill>
            <a:ln w="18000">
              <a:solidFill>
                <a:srgbClr val="00A9A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MEA'!$I$8:$I$29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1B-4265-8C70-EC34CF17BF06}"/>
            </c:ext>
          </c:extLst>
        </c:ser>
        <c:ser>
          <c:idx val="5"/>
          <c:order val="5"/>
          <c:tx>
            <c:strRef>
              <c:f>'▶ Zone MEA'!$J$7</c:f>
              <c:strCache>
                <c:ptCount val="1"/>
                <c:pt idx="0">
                  <c:v>AM06
Account Manage
Account 6</c:v>
                </c:pt>
              </c:strCache>
            </c:strRef>
          </c:tx>
          <c:spPr>
            <a:solidFill>
              <a:srgbClr val="530940"/>
            </a:solidFill>
            <a:ln w="18000">
              <a:solidFill>
                <a:srgbClr val="B4530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MEA'!$J$8:$J$29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1B-4265-8C70-EC34CF17BF06}"/>
            </c:ext>
          </c:extLst>
        </c:ser>
        <c:ser>
          <c:idx val="6"/>
          <c:order val="6"/>
          <c:tx>
            <c:strRef>
              <c:f>'▶ Zone MEA'!$O$7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08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MEA'!$M$8:$M$29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MEA'!$O$8:$O$29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1B-4265-8C70-EC34CF17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33802"/>
        <c:axId val="62867300"/>
      </c:radarChart>
      <c:catAx>
        <c:axId val="768338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67300"/>
        <c:crosses val="autoZero"/>
        <c:auto val="1"/>
        <c:lblAlgn val="ctr"/>
        <c:lblOffset val="100"/>
        <c:noMultiLvlLbl val="0"/>
      </c:catAx>
      <c:valAx>
        <c:axId val="62867300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338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SAM Zone — Capability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'▶ Zone SAM'!$E$7</c:f>
              <c:strCache>
                <c:ptCount val="1"/>
                <c:pt idx="0">
                  <c:v>AM07
Account Manage
Account 7</c:v>
                </c:pt>
              </c:strCache>
            </c:strRef>
          </c:tx>
          <c:spPr>
            <a:solidFill>
              <a:srgbClr val="9E4D40"/>
            </a:solidFill>
            <a:ln w="18000">
              <a:solidFill>
                <a:srgbClr val="009E4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SAM'!$E$8:$E$29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6-4861-B7EF-DF2DEDCF989A}"/>
            </c:ext>
          </c:extLst>
        </c:ser>
        <c:ser>
          <c:idx val="1"/>
          <c:order val="1"/>
          <c:tx>
            <c:strRef>
              <c:f>'▶ Zone SAM'!$F$7</c:f>
              <c:strCache>
                <c:ptCount val="1"/>
                <c:pt idx="0">
                  <c:v>AM08
Account Manage
Account 8</c:v>
                </c:pt>
              </c:strCache>
            </c:strRef>
          </c:tx>
          <c:spPr>
            <a:solidFill>
              <a:srgbClr val="62FE40"/>
            </a:solidFill>
            <a:ln w="18000">
              <a:solidFill>
                <a:srgbClr val="0F62F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SAM'!$F$8:$F$29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6-4861-B7EF-DF2DEDCF989A}"/>
            </c:ext>
          </c:extLst>
        </c:ser>
        <c:ser>
          <c:idx val="2"/>
          <c:order val="2"/>
          <c:tx>
            <c:strRef>
              <c:f>'▶ Zone SAM'!$G$7</c:f>
              <c:strCache>
                <c:ptCount val="1"/>
                <c:pt idx="0">
                  <c:v>AM09
Account Manage
Account 9</c:v>
                </c:pt>
              </c:strCache>
            </c:strRef>
          </c:tx>
          <c:spPr>
            <a:solidFill>
              <a:srgbClr val="520A40"/>
            </a:solidFill>
            <a:ln w="18000">
              <a:solidFill>
                <a:srgbClr val="D4520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SAM'!$G$8:$G$29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6-4861-B7EF-DF2DEDCF989A}"/>
            </c:ext>
          </c:extLst>
        </c:ser>
        <c:ser>
          <c:idx val="3"/>
          <c:order val="3"/>
          <c:tx>
            <c:strRef>
              <c:f>'▶ Zone SAM'!$H$7</c:f>
              <c:strCache>
                <c:ptCount val="1"/>
                <c:pt idx="0">
                  <c:v>AM10
Account Manage
Account 10</c:v>
                </c:pt>
              </c:strCache>
            </c:strRef>
          </c:tx>
          <c:spPr>
            <a:solidFill>
              <a:srgbClr val="47B840"/>
            </a:solidFill>
            <a:ln w="18000">
              <a:solidFill>
                <a:srgbClr val="6B47B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SAM'!$H$8:$H$29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6-4861-B7EF-DF2DEDCF989A}"/>
            </c:ext>
          </c:extLst>
        </c:ser>
        <c:ser>
          <c:idx val="4"/>
          <c:order val="4"/>
          <c:tx>
            <c:strRef>
              <c:f>'▶ Zone SAM'!$I$7</c:f>
              <c:strCache>
                <c:ptCount val="1"/>
                <c:pt idx="0">
                  <c:v>AM11
Account Manage
Account 11</c:v>
                </c:pt>
              </c:strCache>
            </c:strRef>
          </c:tx>
          <c:spPr>
            <a:solidFill>
              <a:srgbClr val="A9A540"/>
            </a:solidFill>
            <a:ln w="18000">
              <a:solidFill>
                <a:srgbClr val="00A9A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SAM'!$I$8:$I$29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6-4861-B7EF-DF2DEDCF989A}"/>
            </c:ext>
          </c:extLst>
        </c:ser>
        <c:ser>
          <c:idx val="5"/>
          <c:order val="5"/>
          <c:tx>
            <c:strRef>
              <c:f>'▶ Zone SAM'!$J$7</c:f>
              <c:strCache>
                <c:ptCount val="1"/>
                <c:pt idx="0">
                  <c:v>AM12
Account Manage
Account 12</c:v>
                </c:pt>
              </c:strCache>
            </c:strRef>
          </c:tx>
          <c:spPr>
            <a:solidFill>
              <a:srgbClr val="530940"/>
            </a:solidFill>
            <a:ln w="18000">
              <a:solidFill>
                <a:srgbClr val="B4530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SAM'!$J$8:$J$29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66-4861-B7EF-DF2DEDCF989A}"/>
            </c:ext>
          </c:extLst>
        </c:ser>
        <c:ser>
          <c:idx val="6"/>
          <c:order val="6"/>
          <c:tx>
            <c:strRef>
              <c:f>'▶ Zone SAM'!$O$7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08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SAM'!$M$8:$M$29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SAM'!$O$8:$O$29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66-4861-B7EF-DF2DEDCF9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5232"/>
        <c:axId val="15716970"/>
      </c:radarChart>
      <c:catAx>
        <c:axId val="837352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16970"/>
        <c:crosses val="autoZero"/>
        <c:auto val="1"/>
        <c:lblAlgn val="ctr"/>
        <c:lblOffset val="100"/>
        <c:noMultiLvlLbl val="0"/>
      </c:catAx>
      <c:valAx>
        <c:axId val="15716970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7352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India Zone — Capability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'▶ Zone India'!$E$7</c:f>
              <c:strCache>
                <c:ptCount val="1"/>
                <c:pt idx="0">
                  <c:v>AM13
Account Manage
Account 13</c:v>
                </c:pt>
              </c:strCache>
            </c:strRef>
          </c:tx>
          <c:spPr>
            <a:solidFill>
              <a:srgbClr val="9E4D40"/>
            </a:solidFill>
            <a:ln w="18000">
              <a:solidFill>
                <a:srgbClr val="009E4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India'!$E$8:$E$29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0-4DF5-AF7B-686AC320350A}"/>
            </c:ext>
          </c:extLst>
        </c:ser>
        <c:ser>
          <c:idx val="1"/>
          <c:order val="1"/>
          <c:tx>
            <c:strRef>
              <c:f>'▶ Zone India'!$F$7</c:f>
              <c:strCache>
                <c:ptCount val="1"/>
                <c:pt idx="0">
                  <c:v>AM14
Account Manage
Account 14</c:v>
                </c:pt>
              </c:strCache>
            </c:strRef>
          </c:tx>
          <c:spPr>
            <a:solidFill>
              <a:srgbClr val="62FE40"/>
            </a:solidFill>
            <a:ln w="18000">
              <a:solidFill>
                <a:srgbClr val="0F62F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India'!$F$8:$F$29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0-4DF5-AF7B-686AC320350A}"/>
            </c:ext>
          </c:extLst>
        </c:ser>
        <c:ser>
          <c:idx val="2"/>
          <c:order val="2"/>
          <c:tx>
            <c:strRef>
              <c:f>'▶ Zone India'!$G$7</c:f>
              <c:strCache>
                <c:ptCount val="1"/>
                <c:pt idx="0">
                  <c:v>AM15
Account Manage
Account 15</c:v>
                </c:pt>
              </c:strCache>
            </c:strRef>
          </c:tx>
          <c:spPr>
            <a:solidFill>
              <a:srgbClr val="520A40"/>
            </a:solidFill>
            <a:ln w="18000">
              <a:solidFill>
                <a:srgbClr val="D4520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India'!$G$8:$G$29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C0-4DF5-AF7B-686AC320350A}"/>
            </c:ext>
          </c:extLst>
        </c:ser>
        <c:ser>
          <c:idx val="3"/>
          <c:order val="3"/>
          <c:tx>
            <c:strRef>
              <c:f>'▶ Zone India'!$H$7</c:f>
              <c:strCache>
                <c:ptCount val="1"/>
                <c:pt idx="0">
                  <c:v>AM16
Account Manage
Account 16</c:v>
                </c:pt>
              </c:strCache>
            </c:strRef>
          </c:tx>
          <c:spPr>
            <a:solidFill>
              <a:srgbClr val="47B840"/>
            </a:solidFill>
            <a:ln w="18000">
              <a:solidFill>
                <a:srgbClr val="6B47B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India'!$H$8:$H$29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C0-4DF5-AF7B-686AC320350A}"/>
            </c:ext>
          </c:extLst>
        </c:ser>
        <c:ser>
          <c:idx val="4"/>
          <c:order val="4"/>
          <c:tx>
            <c:strRef>
              <c:f>'▶ Zone India'!$I$7</c:f>
              <c:strCache>
                <c:ptCount val="1"/>
                <c:pt idx="0">
                  <c:v>AM17
Account Manage
Account 17</c:v>
                </c:pt>
              </c:strCache>
            </c:strRef>
          </c:tx>
          <c:spPr>
            <a:solidFill>
              <a:srgbClr val="A9A540"/>
            </a:solidFill>
            <a:ln w="18000">
              <a:solidFill>
                <a:srgbClr val="00A9A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India'!$I$8:$I$29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C0-4DF5-AF7B-686AC320350A}"/>
            </c:ext>
          </c:extLst>
        </c:ser>
        <c:ser>
          <c:idx val="5"/>
          <c:order val="5"/>
          <c:tx>
            <c:strRef>
              <c:f>'▶ Zone India'!$J$7</c:f>
              <c:strCache>
                <c:ptCount val="1"/>
                <c:pt idx="0">
                  <c:v>AM18
Account Manage
Account 18</c:v>
                </c:pt>
              </c:strCache>
            </c:strRef>
          </c:tx>
          <c:spPr>
            <a:solidFill>
              <a:srgbClr val="530940"/>
            </a:solidFill>
            <a:ln w="18000">
              <a:solidFill>
                <a:srgbClr val="B4530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India'!$J$8:$J$29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C0-4DF5-AF7B-686AC320350A}"/>
            </c:ext>
          </c:extLst>
        </c:ser>
        <c:ser>
          <c:idx val="6"/>
          <c:order val="6"/>
          <c:tx>
            <c:strRef>
              <c:f>'▶ Zone India'!$O$7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08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India'!$M$8:$M$29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India'!$O$8:$O$29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C0-4DF5-AF7B-686AC3203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6522"/>
        <c:axId val="57843553"/>
      </c:radarChart>
      <c:catAx>
        <c:axId val="459565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43553"/>
        <c:crosses val="autoZero"/>
        <c:auto val="1"/>
        <c:lblAlgn val="ctr"/>
        <c:lblOffset val="100"/>
        <c:noMultiLvlLbl val="0"/>
      </c:catAx>
      <c:valAx>
        <c:axId val="57843553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565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Pacific Zone — Capability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'▶ Zone Pacific'!$E$7</c:f>
              <c:strCache>
                <c:ptCount val="1"/>
                <c:pt idx="0">
                  <c:v>AM19
Account Manage
Account 19</c:v>
                </c:pt>
              </c:strCache>
            </c:strRef>
          </c:tx>
          <c:spPr>
            <a:solidFill>
              <a:srgbClr val="9E4D40"/>
            </a:solidFill>
            <a:ln w="18000">
              <a:solidFill>
                <a:srgbClr val="009E4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Pacific'!$E$8:$E$29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A-4DFA-9A70-6D41566B3D2C}"/>
            </c:ext>
          </c:extLst>
        </c:ser>
        <c:ser>
          <c:idx val="1"/>
          <c:order val="1"/>
          <c:tx>
            <c:strRef>
              <c:f>'▶ Zone Pacific'!$F$7</c:f>
              <c:strCache>
                <c:ptCount val="1"/>
                <c:pt idx="0">
                  <c:v>AM20
Account Manage
Account 20</c:v>
                </c:pt>
              </c:strCache>
            </c:strRef>
          </c:tx>
          <c:spPr>
            <a:solidFill>
              <a:srgbClr val="62FE40"/>
            </a:solidFill>
            <a:ln w="18000">
              <a:solidFill>
                <a:srgbClr val="0F62F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Pacific'!$F$8:$F$29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A-4DFA-9A70-6D41566B3D2C}"/>
            </c:ext>
          </c:extLst>
        </c:ser>
        <c:ser>
          <c:idx val="2"/>
          <c:order val="2"/>
          <c:tx>
            <c:strRef>
              <c:f>'▶ Zone Pacific'!$G$7</c:f>
              <c:strCache>
                <c:ptCount val="1"/>
                <c:pt idx="0">
                  <c:v>AM21
Account Manage
Account 21</c:v>
                </c:pt>
              </c:strCache>
            </c:strRef>
          </c:tx>
          <c:spPr>
            <a:solidFill>
              <a:srgbClr val="520A40"/>
            </a:solidFill>
            <a:ln w="18000">
              <a:solidFill>
                <a:srgbClr val="D4520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Pacific'!$G$8:$G$29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A-4DFA-9A70-6D41566B3D2C}"/>
            </c:ext>
          </c:extLst>
        </c:ser>
        <c:ser>
          <c:idx val="3"/>
          <c:order val="3"/>
          <c:tx>
            <c:strRef>
              <c:f>'▶ Zone Pacific'!$H$7</c:f>
              <c:strCache>
                <c:ptCount val="1"/>
                <c:pt idx="0">
                  <c:v>AM22
Account Manage
Account 22</c:v>
                </c:pt>
              </c:strCache>
            </c:strRef>
          </c:tx>
          <c:spPr>
            <a:solidFill>
              <a:srgbClr val="47B840"/>
            </a:solidFill>
            <a:ln w="18000">
              <a:solidFill>
                <a:srgbClr val="6B47B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Pacific'!$H$8:$H$29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A-4DFA-9A70-6D41566B3D2C}"/>
            </c:ext>
          </c:extLst>
        </c:ser>
        <c:ser>
          <c:idx val="4"/>
          <c:order val="4"/>
          <c:tx>
            <c:strRef>
              <c:f>'▶ Zone Pacific'!$I$7</c:f>
              <c:strCache>
                <c:ptCount val="1"/>
                <c:pt idx="0">
                  <c:v>AM23
Account Manage
Account 23</c:v>
                </c:pt>
              </c:strCache>
            </c:strRef>
          </c:tx>
          <c:spPr>
            <a:solidFill>
              <a:srgbClr val="A9A540"/>
            </a:solidFill>
            <a:ln w="18000">
              <a:solidFill>
                <a:srgbClr val="00A9A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Pacific'!$I$8:$I$29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3A-4DFA-9A70-6D41566B3D2C}"/>
            </c:ext>
          </c:extLst>
        </c:ser>
        <c:ser>
          <c:idx val="5"/>
          <c:order val="5"/>
          <c:tx>
            <c:strRef>
              <c:f>'▶ Zone Pacific'!$J$7</c:f>
              <c:strCache>
                <c:ptCount val="1"/>
                <c:pt idx="0">
                  <c:v>AM24
Account Manage
Account 24</c:v>
                </c:pt>
              </c:strCache>
            </c:strRef>
          </c:tx>
          <c:spPr>
            <a:solidFill>
              <a:srgbClr val="530940"/>
            </a:solidFill>
            <a:ln w="18000">
              <a:solidFill>
                <a:srgbClr val="B4530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Pacific'!$J$8:$J$29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3A-4DFA-9A70-6D41566B3D2C}"/>
            </c:ext>
          </c:extLst>
        </c:ser>
        <c:ser>
          <c:idx val="6"/>
          <c:order val="6"/>
          <c:tx>
            <c:strRef>
              <c:f>'▶ Zone Pacific'!$K$7</c:f>
              <c:strCache>
                <c:ptCount val="1"/>
                <c:pt idx="0">
                  <c:v>AM25
Account Manage
Account 25</c:v>
                </c:pt>
              </c:strCache>
            </c:strRef>
          </c:tx>
          <c:spPr>
            <a:solidFill>
              <a:srgbClr val="9E4D40"/>
            </a:solidFill>
            <a:ln w="18000">
              <a:solidFill>
                <a:srgbClr val="009E4D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Pacific'!$K$8:$K$29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3A-4DFA-9A70-6D41566B3D2C}"/>
            </c:ext>
          </c:extLst>
        </c:ser>
        <c:ser>
          <c:idx val="7"/>
          <c:order val="7"/>
          <c:tx>
            <c:strRef>
              <c:f>'▶ Zone Pacific'!$P$7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02E08"/>
            </a:solidFill>
            <a:ln w="11880">
              <a:solidFill>
                <a:srgbClr val="C8102E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'▶ Zone Pacific'!$N$8:$N$29</c:f>
              <c:strCache>
                <c:ptCount val="22"/>
                <c:pt idx="0">
                  <c:v>Acct Mgmt</c:v>
                </c:pt>
                <c:pt idx="1">
                  <c:v>Strat Ambition</c:v>
                </c:pt>
                <c:pt idx="2">
                  <c:v>Consultative</c:v>
                </c:pt>
                <c:pt idx="3">
                  <c:v>Negotiation</c:v>
                </c:pt>
                <c:pt idx="4">
                  <c:v>Value/BizCase</c:v>
                </c:pt>
                <c:pt idx="5">
                  <c:v>CRM</c:v>
                </c:pt>
                <c:pt idx="6">
                  <c:v>Stakeholder</c:v>
                </c:pt>
                <c:pt idx="7">
                  <c:v>Influencing</c:v>
                </c:pt>
                <c:pt idx="8">
                  <c:v>Exec Presence</c:v>
                </c:pt>
                <c:pt idx="9">
                  <c:v>C-Level</c:v>
                </c:pt>
                <c:pt idx="10">
                  <c:v>Exec Sponsor</c:v>
                </c:pt>
                <c:pt idx="11">
                  <c:v>Product Know</c:v>
                </c:pt>
                <c:pt idx="12">
                  <c:v>Industry Know</c:v>
                </c:pt>
                <c:pt idx="13">
                  <c:v>One-SE Posit</c:v>
                </c:pt>
                <c:pt idx="14">
                  <c:v>Tech Credibility</c:v>
                </c:pt>
                <c:pt idx="15">
                  <c:v>Pipeline</c:v>
                </c:pt>
                <c:pt idx="16">
                  <c:v>Competitive</c:v>
                </c:pt>
                <c:pt idx="17">
                  <c:v>White-Space</c:v>
                </c:pt>
                <c:pt idx="18">
                  <c:v>Preferred Partner</c:v>
                </c:pt>
                <c:pt idx="19">
                  <c:v>WoW Expansion</c:v>
                </c:pt>
                <c:pt idx="20">
                  <c:v>Retention</c:v>
                </c:pt>
                <c:pt idx="21">
                  <c:v>SW/Svc Attach</c:v>
                </c:pt>
              </c:strCache>
            </c:strRef>
          </c:cat>
          <c:val>
            <c:numRef>
              <c:f>'▶ Zone Pacific'!$P$8:$P$29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3A-4DFA-9A70-6D41566B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46728"/>
        <c:axId val="91770851"/>
      </c:radarChart>
      <c:catAx>
        <c:axId val="300467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70851"/>
        <c:crosses val="autoZero"/>
        <c:auto val="1"/>
        <c:lblAlgn val="ctr"/>
        <c:lblOffset val="100"/>
        <c:noMultiLvlLbl val="0"/>
      </c:catAx>
      <c:valAx>
        <c:axId val="91770851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467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65520</xdr:colOff>
      <xdr:row>60</xdr:row>
      <xdr:rowOff>86400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589320</xdr:colOff>
      <xdr:row>61</xdr:row>
      <xdr:rowOff>44640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589320</xdr:colOff>
      <xdr:row>61</xdr:row>
      <xdr:rowOff>44640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589320</xdr:colOff>
      <xdr:row>61</xdr:row>
      <xdr:rowOff>44640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589320</xdr:colOff>
      <xdr:row>61</xdr:row>
      <xdr:rowOff>44640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0051-3933-4FD7-B0F7-679B9AE67E39}">
  <sheetPr>
    <tabColor rgb="FF009E4D"/>
  </sheetPr>
  <dimension ref="A1:AH22"/>
  <sheetViews>
    <sheetView showGridLines="0" showRowColHeaders="0" zoomScale="108" zoomScaleNormal="100" workbookViewId="0">
      <selection activeCell="K13" sqref="K13"/>
    </sheetView>
  </sheetViews>
  <sheetFormatPr defaultColWidth="8.54296875" defaultRowHeight="14.5" x14ac:dyDescent="0.35"/>
  <cols>
    <col min="1" max="1" width="1.54296875" customWidth="1"/>
    <col min="2" max="2" width="14" customWidth="1"/>
    <col min="3" max="3" width="26" customWidth="1"/>
    <col min="4" max="4" width="22" customWidth="1"/>
    <col min="5" max="9" width="10" customWidth="1"/>
    <col min="10" max="10" width="1.54296875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342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8" spans="1:34" ht="24" customHeight="1" x14ac:dyDescent="0.35">
      <c r="B8" s="156" t="s">
        <v>3</v>
      </c>
      <c r="C8" s="156"/>
      <c r="D8" s="156"/>
      <c r="E8" s="156"/>
      <c r="F8" s="156"/>
      <c r="G8" s="156"/>
      <c r="H8" s="156"/>
      <c r="I8" s="156"/>
    </row>
    <row r="9" spans="1:34" ht="21.75" customHeight="1" x14ac:dyDescent="0.35">
      <c r="B9" s="162" t="s">
        <v>4</v>
      </c>
      <c r="C9" s="162"/>
      <c r="D9" s="153" t="s">
        <v>5</v>
      </c>
      <c r="E9" s="153"/>
      <c r="F9" s="153"/>
      <c r="G9" s="153"/>
      <c r="H9" s="153"/>
      <c r="I9" s="153"/>
    </row>
    <row r="10" spans="1:34" ht="21.75" customHeight="1" x14ac:dyDescent="0.35">
      <c r="B10" s="152" t="s">
        <v>6</v>
      </c>
      <c r="C10" s="152"/>
      <c r="D10" s="153" t="s">
        <v>7</v>
      </c>
      <c r="E10" s="153"/>
      <c r="F10" s="153"/>
      <c r="G10" s="153"/>
      <c r="H10" s="153"/>
      <c r="I10" s="153"/>
    </row>
    <row r="11" spans="1:34" ht="21.75" customHeight="1" x14ac:dyDescent="0.35">
      <c r="B11" s="154" t="s">
        <v>8</v>
      </c>
      <c r="C11" s="154"/>
      <c r="D11" s="153" t="s">
        <v>9</v>
      </c>
      <c r="E11" s="153"/>
      <c r="F11" s="153"/>
      <c r="G11" s="153"/>
      <c r="H11" s="153"/>
      <c r="I11" s="153"/>
    </row>
    <row r="13" spans="1:34" ht="24" customHeight="1" x14ac:dyDescent="0.35">
      <c r="B13" s="156" t="s">
        <v>10</v>
      </c>
      <c r="C13" s="156"/>
      <c r="D13" s="156"/>
      <c r="E13" s="156"/>
      <c r="F13" s="156"/>
      <c r="G13" s="156"/>
      <c r="H13" s="156"/>
      <c r="I13" s="156"/>
    </row>
    <row r="14" spans="1:34" ht="21.75" customHeight="1" x14ac:dyDescent="0.35">
      <c r="B14" s="157" t="s">
        <v>11</v>
      </c>
      <c r="C14" s="157"/>
      <c r="D14" s="153" t="s">
        <v>12</v>
      </c>
      <c r="E14" s="153"/>
      <c r="F14" s="153"/>
      <c r="G14" s="153"/>
      <c r="H14" s="153"/>
      <c r="I14" s="153"/>
    </row>
    <row r="15" spans="1:34" ht="21.75" customHeight="1" x14ac:dyDescent="0.35">
      <c r="B15" s="152" t="s">
        <v>13</v>
      </c>
      <c r="C15" s="152"/>
      <c r="D15" s="153" t="s">
        <v>14</v>
      </c>
      <c r="E15" s="153"/>
      <c r="F15" s="153"/>
      <c r="G15" s="153"/>
      <c r="H15" s="153"/>
      <c r="I15" s="153"/>
    </row>
    <row r="16" spans="1:34" ht="21.75" customHeight="1" x14ac:dyDescent="0.35">
      <c r="B16" s="154" t="s">
        <v>15</v>
      </c>
      <c r="C16" s="154"/>
      <c r="D16" s="153" t="s">
        <v>16</v>
      </c>
      <c r="E16" s="153"/>
      <c r="F16" s="153"/>
      <c r="G16" s="153"/>
      <c r="H16" s="153"/>
      <c r="I16" s="153"/>
    </row>
    <row r="18" spans="2:9" ht="24" customHeight="1" x14ac:dyDescent="0.35">
      <c r="B18" s="155" t="s">
        <v>343</v>
      </c>
      <c r="C18" s="156"/>
      <c r="D18" s="156"/>
      <c r="E18" s="156"/>
      <c r="F18" s="156"/>
      <c r="G18" s="156"/>
      <c r="H18" s="156"/>
      <c r="I18" s="156"/>
    </row>
    <row r="19" spans="2:9" x14ac:dyDescent="0.35">
      <c r="B19" s="150" t="s">
        <v>344</v>
      </c>
      <c r="C19" s="151"/>
      <c r="D19" s="151"/>
    </row>
    <row r="20" spans="2:9" x14ac:dyDescent="0.35">
      <c r="B20" s="150" t="s">
        <v>345</v>
      </c>
      <c r="C20" s="151"/>
      <c r="D20" s="151"/>
    </row>
    <row r="21" spans="2:9" x14ac:dyDescent="0.35">
      <c r="B21" s="150" t="s">
        <v>346</v>
      </c>
      <c r="C21" s="151"/>
      <c r="D21" s="151"/>
    </row>
    <row r="22" spans="2:9" x14ac:dyDescent="0.35">
      <c r="B22" s="150" t="s">
        <v>347</v>
      </c>
      <c r="C22" s="151"/>
      <c r="D22" s="151"/>
    </row>
  </sheetData>
  <mergeCells count="19">
    <mergeCell ref="B14:C14"/>
    <mergeCell ref="D14:I14"/>
    <mergeCell ref="B2:C4"/>
    <mergeCell ref="D2:Z2"/>
    <mergeCell ref="D3:Z4"/>
    <mergeCell ref="B5:Z5"/>
    <mergeCell ref="B8:I8"/>
    <mergeCell ref="B9:C9"/>
    <mergeCell ref="D9:I9"/>
    <mergeCell ref="B10:C10"/>
    <mergeCell ref="D10:I10"/>
    <mergeCell ref="B11:C11"/>
    <mergeCell ref="D11:I11"/>
    <mergeCell ref="B13:I13"/>
    <mergeCell ref="B15:C15"/>
    <mergeCell ref="D15:I15"/>
    <mergeCell ref="B16:C16"/>
    <mergeCell ref="D16:I16"/>
    <mergeCell ref="B18:I1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CD58"/>
  </sheetPr>
  <dimension ref="A1:AH29"/>
  <sheetViews>
    <sheetView showGridLines="0" showRowColHeaders="0" zoomScaleNormal="100" workbookViewId="0">
      <pane xSplit="2" ySplit="7" topLeftCell="C9" activePane="bottomRight" state="frozen"/>
      <selection pane="topRight" activeCell="C1" sqref="C1"/>
      <selection pane="bottomLeft" activeCell="A8" sqref="A8"/>
      <selection pane="bottomRight" activeCell="B8" sqref="B8"/>
    </sheetView>
  </sheetViews>
  <sheetFormatPr defaultColWidth="8.54296875" defaultRowHeight="14.5" x14ac:dyDescent="0.35"/>
  <cols>
    <col min="1" max="1" width="1.54296875" customWidth="1"/>
    <col min="2" max="2" width="26" customWidth="1"/>
    <col min="3" max="3" width="22" customWidth="1"/>
    <col min="4" max="6" width="6" customWidth="1"/>
    <col min="7" max="9" width="38" customWidth="1"/>
    <col min="10" max="10" width="1.54296875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76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77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0" customHeight="1" x14ac:dyDescent="0.35"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</row>
    <row r="8" spans="1:34" ht="51.75" customHeight="1" x14ac:dyDescent="0.35">
      <c r="B8" s="5" t="s">
        <v>86</v>
      </c>
      <c r="C8" s="6" t="s">
        <v>87</v>
      </c>
      <c r="D8" s="7" t="s">
        <v>0</v>
      </c>
      <c r="E8" s="8" t="s">
        <v>88</v>
      </c>
      <c r="F8" s="8" t="s">
        <v>88</v>
      </c>
      <c r="G8" s="9" t="s">
        <v>89</v>
      </c>
      <c r="H8" s="10" t="s">
        <v>90</v>
      </c>
      <c r="I8" s="11" t="s">
        <v>91</v>
      </c>
    </row>
    <row r="9" spans="1:34" ht="51.75" customHeight="1" x14ac:dyDescent="0.35">
      <c r="B9" s="5" t="s">
        <v>92</v>
      </c>
      <c r="C9" s="6" t="s">
        <v>87</v>
      </c>
      <c r="D9" s="7" t="s">
        <v>93</v>
      </c>
      <c r="E9" s="8" t="s">
        <v>94</v>
      </c>
      <c r="F9" s="8" t="s">
        <v>94</v>
      </c>
      <c r="G9" s="9" t="s">
        <v>95</v>
      </c>
      <c r="H9" s="10" t="s">
        <v>96</v>
      </c>
      <c r="I9" s="11" t="s">
        <v>97</v>
      </c>
    </row>
    <row r="10" spans="1:34" ht="51.75" customHeight="1" x14ac:dyDescent="0.35">
      <c r="B10" s="12" t="s">
        <v>98</v>
      </c>
      <c r="C10" s="13" t="s">
        <v>99</v>
      </c>
      <c r="D10" s="14" t="s">
        <v>0</v>
      </c>
      <c r="E10" s="15" t="s">
        <v>94</v>
      </c>
      <c r="F10" s="15" t="s">
        <v>94</v>
      </c>
      <c r="G10" s="9" t="s">
        <v>100</v>
      </c>
      <c r="H10" s="10" t="s">
        <v>101</v>
      </c>
      <c r="I10" s="11" t="s">
        <v>102</v>
      </c>
    </row>
    <row r="11" spans="1:34" ht="51.75" customHeight="1" x14ac:dyDescent="0.35">
      <c r="B11" s="12" t="s">
        <v>103</v>
      </c>
      <c r="C11" s="13" t="s">
        <v>99</v>
      </c>
      <c r="D11" s="14" t="s">
        <v>0</v>
      </c>
      <c r="E11" s="15" t="s">
        <v>94</v>
      </c>
      <c r="F11" s="15" t="s">
        <v>94</v>
      </c>
      <c r="G11" s="9" t="s">
        <v>104</v>
      </c>
      <c r="H11" s="10" t="s">
        <v>105</v>
      </c>
      <c r="I11" s="11" t="s">
        <v>106</v>
      </c>
    </row>
    <row r="12" spans="1:34" ht="51.75" customHeight="1" x14ac:dyDescent="0.35">
      <c r="B12" s="12" t="s">
        <v>107</v>
      </c>
      <c r="C12" s="13" t="s">
        <v>99</v>
      </c>
      <c r="D12" s="14" t="s">
        <v>93</v>
      </c>
      <c r="E12" s="15" t="s">
        <v>94</v>
      </c>
      <c r="F12" s="15" t="s">
        <v>94</v>
      </c>
      <c r="G12" s="9" t="s">
        <v>108</v>
      </c>
      <c r="H12" s="10" t="s">
        <v>109</v>
      </c>
      <c r="I12" s="11" t="s">
        <v>110</v>
      </c>
    </row>
    <row r="13" spans="1:34" ht="51.75" customHeight="1" x14ac:dyDescent="0.35">
      <c r="B13" s="16" t="s">
        <v>111</v>
      </c>
      <c r="C13" s="17" t="s">
        <v>112</v>
      </c>
      <c r="D13" s="18" t="s">
        <v>0</v>
      </c>
      <c r="E13" s="19" t="s">
        <v>94</v>
      </c>
      <c r="F13" s="19" t="s">
        <v>94</v>
      </c>
      <c r="G13" s="9" t="s">
        <v>113</v>
      </c>
      <c r="H13" s="10" t="s">
        <v>114</v>
      </c>
      <c r="I13" s="11" t="s">
        <v>115</v>
      </c>
    </row>
    <row r="14" spans="1:34" ht="51.75" customHeight="1" x14ac:dyDescent="0.35">
      <c r="B14" s="16" t="s">
        <v>116</v>
      </c>
      <c r="C14" s="17" t="s">
        <v>112</v>
      </c>
      <c r="D14" s="18" t="s">
        <v>0</v>
      </c>
      <c r="E14" s="19" t="s">
        <v>94</v>
      </c>
      <c r="F14" s="19" t="s">
        <v>94</v>
      </c>
      <c r="G14" s="9" t="s">
        <v>117</v>
      </c>
      <c r="H14" s="10" t="s">
        <v>118</v>
      </c>
      <c r="I14" s="11" t="s">
        <v>119</v>
      </c>
    </row>
    <row r="15" spans="1:34" ht="51.75" customHeight="1" x14ac:dyDescent="0.35">
      <c r="B15" s="16" t="s">
        <v>120</v>
      </c>
      <c r="C15" s="17" t="s">
        <v>112</v>
      </c>
      <c r="D15" s="18" t="s">
        <v>0</v>
      </c>
      <c r="E15" s="19" t="s">
        <v>94</v>
      </c>
      <c r="F15" s="19" t="s">
        <v>94</v>
      </c>
      <c r="G15" s="9" t="s">
        <v>121</v>
      </c>
      <c r="H15" s="10" t="s">
        <v>122</v>
      </c>
      <c r="I15" s="11" t="s">
        <v>123</v>
      </c>
    </row>
    <row r="16" spans="1:34" ht="51.75" customHeight="1" x14ac:dyDescent="0.35">
      <c r="B16" s="16" t="s">
        <v>124</v>
      </c>
      <c r="C16" s="17" t="s">
        <v>112</v>
      </c>
      <c r="D16" s="18" t="s">
        <v>93</v>
      </c>
      <c r="E16" s="19" t="s">
        <v>94</v>
      </c>
      <c r="F16" s="19" t="s">
        <v>94</v>
      </c>
      <c r="G16" s="9" t="s">
        <v>125</v>
      </c>
      <c r="H16" s="10" t="s">
        <v>126</v>
      </c>
      <c r="I16" s="11" t="s">
        <v>127</v>
      </c>
    </row>
    <row r="17" spans="2:9" ht="51.75" customHeight="1" x14ac:dyDescent="0.35">
      <c r="B17" s="16" t="s">
        <v>128</v>
      </c>
      <c r="C17" s="17" t="s">
        <v>112</v>
      </c>
      <c r="D17" s="18" t="s">
        <v>93</v>
      </c>
      <c r="E17" s="19" t="s">
        <v>94</v>
      </c>
      <c r="F17" s="19" t="s">
        <v>94</v>
      </c>
      <c r="G17" s="9" t="s">
        <v>129</v>
      </c>
      <c r="H17" s="10" t="s">
        <v>130</v>
      </c>
      <c r="I17" s="11" t="s">
        <v>131</v>
      </c>
    </row>
    <row r="18" spans="2:9" ht="51.75" customHeight="1" x14ac:dyDescent="0.35">
      <c r="B18" s="16" t="s">
        <v>132</v>
      </c>
      <c r="C18" s="17" t="s">
        <v>112</v>
      </c>
      <c r="D18" s="18" t="s">
        <v>93</v>
      </c>
      <c r="E18" s="19" t="s">
        <v>94</v>
      </c>
      <c r="F18" s="19" t="s">
        <v>94</v>
      </c>
      <c r="G18" s="9" t="s">
        <v>133</v>
      </c>
      <c r="H18" s="10" t="s">
        <v>134</v>
      </c>
      <c r="I18" s="11" t="s">
        <v>135</v>
      </c>
    </row>
    <row r="19" spans="2:9" ht="51.75" customHeight="1" x14ac:dyDescent="0.35">
      <c r="B19" s="20" t="s">
        <v>136</v>
      </c>
      <c r="C19" s="21" t="s">
        <v>137</v>
      </c>
      <c r="D19" s="22" t="s">
        <v>0</v>
      </c>
      <c r="E19" s="23" t="s">
        <v>94</v>
      </c>
      <c r="F19" s="23" t="s">
        <v>94</v>
      </c>
      <c r="G19" s="9" t="s">
        <v>138</v>
      </c>
      <c r="H19" s="10" t="s">
        <v>139</v>
      </c>
      <c r="I19" s="11" t="s">
        <v>140</v>
      </c>
    </row>
    <row r="20" spans="2:9" ht="51.75" customHeight="1" x14ac:dyDescent="0.35">
      <c r="B20" s="20" t="s">
        <v>141</v>
      </c>
      <c r="C20" s="21" t="s">
        <v>137</v>
      </c>
      <c r="D20" s="22" t="s">
        <v>0</v>
      </c>
      <c r="E20" s="23" t="s">
        <v>94</v>
      </c>
      <c r="F20" s="23" t="s">
        <v>94</v>
      </c>
      <c r="G20" s="9" t="s">
        <v>142</v>
      </c>
      <c r="H20" s="10" t="s">
        <v>143</v>
      </c>
      <c r="I20" s="11" t="s">
        <v>144</v>
      </c>
    </row>
    <row r="21" spans="2:9" ht="51.75" customHeight="1" x14ac:dyDescent="0.35">
      <c r="B21" s="20" t="s">
        <v>145</v>
      </c>
      <c r="C21" s="21" t="s">
        <v>137</v>
      </c>
      <c r="D21" s="22" t="s">
        <v>93</v>
      </c>
      <c r="E21" s="23" t="s">
        <v>94</v>
      </c>
      <c r="F21" s="23" t="s">
        <v>94</v>
      </c>
      <c r="G21" s="9" t="s">
        <v>146</v>
      </c>
      <c r="H21" s="10" t="s">
        <v>147</v>
      </c>
      <c r="I21" s="11" t="s">
        <v>148</v>
      </c>
    </row>
    <row r="22" spans="2:9" ht="51.75" customHeight="1" x14ac:dyDescent="0.35">
      <c r="B22" s="20" t="s">
        <v>149</v>
      </c>
      <c r="C22" s="21" t="s">
        <v>137</v>
      </c>
      <c r="D22" s="22" t="s">
        <v>93</v>
      </c>
      <c r="E22" s="23" t="s">
        <v>94</v>
      </c>
      <c r="F22" s="23" t="s">
        <v>94</v>
      </c>
      <c r="G22" s="9" t="s">
        <v>150</v>
      </c>
      <c r="H22" s="10" t="s">
        <v>151</v>
      </c>
      <c r="I22" s="11" t="s">
        <v>152</v>
      </c>
    </row>
    <row r="23" spans="2:9" ht="51.75" customHeight="1" x14ac:dyDescent="0.35">
      <c r="B23" s="24" t="s">
        <v>153</v>
      </c>
      <c r="C23" s="25" t="s">
        <v>154</v>
      </c>
      <c r="D23" s="26" t="s">
        <v>155</v>
      </c>
      <c r="E23" s="27" t="s">
        <v>88</v>
      </c>
      <c r="F23" s="27" t="s">
        <v>156</v>
      </c>
      <c r="G23" s="9" t="s">
        <v>157</v>
      </c>
      <c r="H23" s="10" t="s">
        <v>158</v>
      </c>
      <c r="I23" s="11" t="s">
        <v>159</v>
      </c>
    </row>
    <row r="24" spans="2:9" ht="51.75" customHeight="1" x14ac:dyDescent="0.35">
      <c r="B24" s="24" t="s">
        <v>160</v>
      </c>
      <c r="C24" s="25" t="s">
        <v>154</v>
      </c>
      <c r="D24" s="26" t="s">
        <v>155</v>
      </c>
      <c r="E24" s="27" t="s">
        <v>94</v>
      </c>
      <c r="F24" s="27" t="s">
        <v>156</v>
      </c>
      <c r="G24" s="9" t="s">
        <v>161</v>
      </c>
      <c r="H24" s="10" t="s">
        <v>162</v>
      </c>
      <c r="I24" s="11" t="s">
        <v>163</v>
      </c>
    </row>
    <row r="25" spans="2:9" ht="51.75" customHeight="1" x14ac:dyDescent="0.35">
      <c r="B25" s="24" t="s">
        <v>164</v>
      </c>
      <c r="C25" s="25" t="s">
        <v>154</v>
      </c>
      <c r="D25" s="26" t="s">
        <v>155</v>
      </c>
      <c r="E25" s="27" t="s">
        <v>94</v>
      </c>
      <c r="F25" s="27" t="s">
        <v>156</v>
      </c>
      <c r="G25" s="9" t="s">
        <v>165</v>
      </c>
      <c r="H25" s="10" t="s">
        <v>166</v>
      </c>
      <c r="I25" s="11" t="s">
        <v>167</v>
      </c>
    </row>
    <row r="26" spans="2:9" ht="51.75" customHeight="1" x14ac:dyDescent="0.35">
      <c r="B26" s="24" t="s">
        <v>168</v>
      </c>
      <c r="C26" s="25" t="s">
        <v>154</v>
      </c>
      <c r="D26" s="26" t="s">
        <v>155</v>
      </c>
      <c r="E26" s="27" t="s">
        <v>94</v>
      </c>
      <c r="F26" s="27" t="s">
        <v>156</v>
      </c>
      <c r="G26" s="9" t="s">
        <v>169</v>
      </c>
      <c r="H26" s="10" t="s">
        <v>170</v>
      </c>
      <c r="I26" s="11" t="s">
        <v>171</v>
      </c>
    </row>
    <row r="27" spans="2:9" ht="51.75" customHeight="1" x14ac:dyDescent="0.35">
      <c r="B27" s="28" t="s">
        <v>172</v>
      </c>
      <c r="C27" s="29" t="s">
        <v>173</v>
      </c>
      <c r="D27" s="30" t="s">
        <v>174</v>
      </c>
      <c r="E27" s="31" t="s">
        <v>156</v>
      </c>
      <c r="F27" s="31" t="s">
        <v>88</v>
      </c>
      <c r="G27" s="9" t="s">
        <v>175</v>
      </c>
      <c r="H27" s="10" t="s">
        <v>176</v>
      </c>
      <c r="I27" s="11" t="s">
        <v>177</v>
      </c>
    </row>
    <row r="28" spans="2:9" ht="51.75" customHeight="1" x14ac:dyDescent="0.35">
      <c r="B28" s="28" t="s">
        <v>178</v>
      </c>
      <c r="C28" s="29" t="s">
        <v>173</v>
      </c>
      <c r="D28" s="30" t="s">
        <v>174</v>
      </c>
      <c r="E28" s="31" t="s">
        <v>156</v>
      </c>
      <c r="F28" s="31" t="s">
        <v>94</v>
      </c>
      <c r="G28" s="9" t="s">
        <v>179</v>
      </c>
      <c r="H28" s="10" t="s">
        <v>180</v>
      </c>
      <c r="I28" s="11" t="s">
        <v>181</v>
      </c>
    </row>
    <row r="29" spans="2:9" ht="51.75" customHeight="1" x14ac:dyDescent="0.35">
      <c r="B29" s="28" t="s">
        <v>182</v>
      </c>
      <c r="C29" s="29" t="s">
        <v>173</v>
      </c>
      <c r="D29" s="30" t="s">
        <v>174</v>
      </c>
      <c r="E29" s="31" t="s">
        <v>156</v>
      </c>
      <c r="F29" s="31" t="s">
        <v>94</v>
      </c>
      <c r="G29" s="9" t="s">
        <v>183</v>
      </c>
      <c r="H29" s="10" t="s">
        <v>184</v>
      </c>
      <c r="I29" s="11" t="s">
        <v>185</v>
      </c>
    </row>
  </sheetData>
  <mergeCells count="4">
    <mergeCell ref="B2:C4"/>
    <mergeCell ref="D2:Z2"/>
    <mergeCell ref="D3:Z4"/>
    <mergeCell ref="B5:Z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2FE"/>
  </sheetPr>
  <dimension ref="A1:AH34"/>
  <sheetViews>
    <sheetView showGridLines="0" showRowColHeaders="0" tabSelected="1"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K17" sqref="K1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186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187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20</v>
      </c>
      <c r="E7" s="32" t="s">
        <v>17</v>
      </c>
      <c r="G7" s="33" t="s">
        <v>21</v>
      </c>
      <c r="H7" s="32" t="s">
        <v>18</v>
      </c>
      <c r="I7" s="34" t="s">
        <v>22</v>
      </c>
      <c r="J7" s="32" t="s">
        <v>19</v>
      </c>
      <c r="K7" s="35" t="s">
        <v>23</v>
      </c>
      <c r="M7" s="148"/>
      <c r="N7" s="148"/>
      <c r="O7" s="148"/>
      <c r="P7" s="148"/>
      <c r="Q7" s="148"/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  <c r="M8" s="148"/>
      <c r="N8" s="148"/>
      <c r="O8" s="148"/>
      <c r="P8" s="148"/>
      <c r="Q8" s="14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  <c r="M9" s="148"/>
      <c r="N9" s="148"/>
      <c r="O9" s="148"/>
      <c r="P9" s="148"/>
      <c r="Q9" s="148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147" t="s">
        <v>78</v>
      </c>
      <c r="N10" s="147" t="s">
        <v>203</v>
      </c>
      <c r="O10" s="147" t="s">
        <v>204</v>
      </c>
      <c r="P10" s="147" t="s">
        <v>205</v>
      </c>
      <c r="Q10" s="147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" si="0">IF(E11="L3 - Advanced",3,IF(E11="L2 - Proficient",2,IF(E11="L1 - Developing",1,"")))</f>
        <v/>
      </c>
      <c r="I11" s="50" t="str">
        <f t="shared" ref="I11" si="1">IF(F11="L3 - Advanced",3,IF(F11="L2 - Proficient",2,IF(F11="L1 - Developing",1,"")))</f>
        <v/>
      </c>
      <c r="J11" s="50" t="str">
        <f t="shared" ref="J11" si="2">IF(G11="L3 - Advanced",3,IF(G11="L2 - Proficient",2,IF(G11="L1 - Developing",1,"")))</f>
        <v/>
      </c>
      <c r="K11" s="51"/>
      <c r="M11" s="149" t="s">
        <v>208</v>
      </c>
      <c r="N11" s="149" t="str">
        <f t="shared" ref="N11:N32" si="3">H11</f>
        <v/>
      </c>
      <c r="O11" s="149" t="str">
        <f t="shared" ref="O11:O32" si="4">I11</f>
        <v/>
      </c>
      <c r="P11" s="149" t="str">
        <f t="shared" ref="P11:P32" si="5">J11</f>
        <v/>
      </c>
      <c r="Q11" s="149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ref="H12:H32" si="6">IF(E12="L3 - Advanced",3,IF(E12="L2 - Proficient",2,IF(E12="L1 - Developing",1,"")))</f>
        <v/>
      </c>
      <c r="I12" s="50" t="str">
        <f t="shared" ref="I12:I32" si="7">IF(F12="L3 - Advanced",3,IF(F12="L2 - Proficient",2,IF(F12="L1 - Developing",1,"")))</f>
        <v/>
      </c>
      <c r="J12" s="50" t="str">
        <f t="shared" ref="J12:J32" si="8">IF(G12="L3 - Advanced",3,IF(G12="L2 - Proficient",2,IF(G12="L1 - Developing",1,"")))</f>
        <v/>
      </c>
      <c r="K12" s="51"/>
      <c r="M12" s="149" t="s">
        <v>210</v>
      </c>
      <c r="N12" s="149" t="str">
        <f t="shared" si="3"/>
        <v/>
      </c>
      <c r="O12" s="149" t="str">
        <f t="shared" si="4"/>
        <v/>
      </c>
      <c r="P12" s="149" t="str">
        <f t="shared" si="5"/>
        <v/>
      </c>
      <c r="Q12" s="149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6"/>
        <v/>
      </c>
      <c r="I13" s="50" t="str">
        <f t="shared" si="7"/>
        <v/>
      </c>
      <c r="J13" s="50" t="str">
        <f t="shared" si="8"/>
        <v/>
      </c>
      <c r="K13" s="51"/>
      <c r="M13" s="149" t="s">
        <v>212</v>
      </c>
      <c r="N13" s="149" t="str">
        <f t="shared" si="3"/>
        <v/>
      </c>
      <c r="O13" s="149" t="str">
        <f t="shared" si="4"/>
        <v/>
      </c>
      <c r="P13" s="149" t="str">
        <f t="shared" si="5"/>
        <v/>
      </c>
      <c r="Q13" s="149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6"/>
        <v/>
      </c>
      <c r="I14" s="50" t="str">
        <f t="shared" si="7"/>
        <v/>
      </c>
      <c r="J14" s="50" t="str">
        <f t="shared" si="8"/>
        <v/>
      </c>
      <c r="K14" s="51"/>
      <c r="M14" s="149" t="s">
        <v>213</v>
      </c>
      <c r="N14" s="149" t="str">
        <f t="shared" si="3"/>
        <v/>
      </c>
      <c r="O14" s="149" t="str">
        <f t="shared" si="4"/>
        <v/>
      </c>
      <c r="P14" s="149" t="str">
        <f t="shared" si="5"/>
        <v/>
      </c>
      <c r="Q14" s="149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6"/>
        <v/>
      </c>
      <c r="I15" s="50" t="str">
        <f t="shared" si="7"/>
        <v/>
      </c>
      <c r="J15" s="50" t="str">
        <f t="shared" si="8"/>
        <v/>
      </c>
      <c r="K15" s="51"/>
      <c r="M15" s="149" t="s">
        <v>215</v>
      </c>
      <c r="N15" s="149" t="str">
        <f t="shared" si="3"/>
        <v/>
      </c>
      <c r="O15" s="149" t="str">
        <f t="shared" si="4"/>
        <v/>
      </c>
      <c r="P15" s="149" t="str">
        <f t="shared" si="5"/>
        <v/>
      </c>
      <c r="Q15" s="149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6"/>
        <v/>
      </c>
      <c r="I16" s="50" t="str">
        <f t="shared" si="7"/>
        <v/>
      </c>
      <c r="J16" s="50" t="str">
        <f t="shared" si="8"/>
        <v/>
      </c>
      <c r="K16" s="51"/>
      <c r="M16" s="149" t="s">
        <v>217</v>
      </c>
      <c r="N16" s="149" t="str">
        <f t="shared" si="3"/>
        <v/>
      </c>
      <c r="O16" s="149" t="str">
        <f t="shared" si="4"/>
        <v/>
      </c>
      <c r="P16" s="149" t="str">
        <f t="shared" si="5"/>
        <v/>
      </c>
      <c r="Q16" s="149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6"/>
        <v/>
      </c>
      <c r="I17" s="50" t="str">
        <f t="shared" si="7"/>
        <v/>
      </c>
      <c r="J17" s="50" t="str">
        <f t="shared" si="8"/>
        <v/>
      </c>
      <c r="K17" s="51"/>
      <c r="M17" s="149" t="s">
        <v>219</v>
      </c>
      <c r="N17" s="149" t="str">
        <f t="shared" si="3"/>
        <v/>
      </c>
      <c r="O17" s="149" t="str">
        <f t="shared" si="4"/>
        <v/>
      </c>
      <c r="P17" s="149" t="str">
        <f t="shared" si="5"/>
        <v/>
      </c>
      <c r="Q17" s="149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6"/>
        <v/>
      </c>
      <c r="I18" s="50" t="str">
        <f t="shared" si="7"/>
        <v/>
      </c>
      <c r="J18" s="50" t="str">
        <f t="shared" si="8"/>
        <v/>
      </c>
      <c r="K18" s="51"/>
      <c r="M18" s="149" t="s">
        <v>221</v>
      </c>
      <c r="N18" s="149" t="str">
        <f t="shared" si="3"/>
        <v/>
      </c>
      <c r="O18" s="149" t="str">
        <f t="shared" si="4"/>
        <v/>
      </c>
      <c r="P18" s="149" t="str">
        <f t="shared" si="5"/>
        <v/>
      </c>
      <c r="Q18" s="149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6"/>
        <v/>
      </c>
      <c r="I19" s="50" t="str">
        <f t="shared" si="7"/>
        <v/>
      </c>
      <c r="J19" s="50" t="str">
        <f t="shared" si="8"/>
        <v/>
      </c>
      <c r="K19" s="51"/>
      <c r="M19" s="149" t="s">
        <v>222</v>
      </c>
      <c r="N19" s="149" t="str">
        <f t="shared" si="3"/>
        <v/>
      </c>
      <c r="O19" s="149" t="str">
        <f t="shared" si="4"/>
        <v/>
      </c>
      <c r="P19" s="149" t="str">
        <f t="shared" si="5"/>
        <v/>
      </c>
      <c r="Q19" s="149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6"/>
        <v/>
      </c>
      <c r="I20" s="50" t="str">
        <f t="shared" si="7"/>
        <v/>
      </c>
      <c r="J20" s="50" t="str">
        <f t="shared" si="8"/>
        <v/>
      </c>
      <c r="K20" s="51"/>
      <c r="M20" s="149" t="s">
        <v>224</v>
      </c>
      <c r="N20" s="149" t="str">
        <f t="shared" si="3"/>
        <v/>
      </c>
      <c r="O20" s="149" t="str">
        <f t="shared" si="4"/>
        <v/>
      </c>
      <c r="P20" s="149" t="str">
        <f t="shared" si="5"/>
        <v/>
      </c>
      <c r="Q20" s="149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6"/>
        <v/>
      </c>
      <c r="I21" s="50" t="str">
        <f t="shared" si="7"/>
        <v/>
      </c>
      <c r="J21" s="50" t="str">
        <f t="shared" si="8"/>
        <v/>
      </c>
      <c r="K21" s="51"/>
      <c r="M21" s="149" t="s">
        <v>226</v>
      </c>
      <c r="N21" s="149" t="str">
        <f t="shared" si="3"/>
        <v/>
      </c>
      <c r="O21" s="149" t="str">
        <f t="shared" si="4"/>
        <v/>
      </c>
      <c r="P21" s="149" t="str">
        <f t="shared" si="5"/>
        <v/>
      </c>
      <c r="Q21" s="149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6"/>
        <v/>
      </c>
      <c r="I22" s="50" t="str">
        <f t="shared" si="7"/>
        <v/>
      </c>
      <c r="J22" s="50" t="str">
        <f t="shared" si="8"/>
        <v/>
      </c>
      <c r="K22" s="51"/>
      <c r="M22" s="149" t="s">
        <v>228</v>
      </c>
      <c r="N22" s="149" t="str">
        <f t="shared" si="3"/>
        <v/>
      </c>
      <c r="O22" s="149" t="str">
        <f t="shared" si="4"/>
        <v/>
      </c>
      <c r="P22" s="149" t="str">
        <f t="shared" si="5"/>
        <v/>
      </c>
      <c r="Q22" s="149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6"/>
        <v/>
      </c>
      <c r="I23" s="50" t="str">
        <f t="shared" si="7"/>
        <v/>
      </c>
      <c r="J23" s="50" t="str">
        <f t="shared" si="8"/>
        <v/>
      </c>
      <c r="K23" s="51"/>
      <c r="M23" s="149" t="s">
        <v>230</v>
      </c>
      <c r="N23" s="149" t="str">
        <f t="shared" si="3"/>
        <v/>
      </c>
      <c r="O23" s="149" t="str">
        <f t="shared" si="4"/>
        <v/>
      </c>
      <c r="P23" s="149" t="str">
        <f t="shared" si="5"/>
        <v/>
      </c>
      <c r="Q23" s="149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6"/>
        <v/>
      </c>
      <c r="I24" s="50" t="str">
        <f t="shared" si="7"/>
        <v/>
      </c>
      <c r="J24" s="50" t="str">
        <f t="shared" si="8"/>
        <v/>
      </c>
      <c r="K24" s="51"/>
      <c r="M24" s="149" t="s">
        <v>232</v>
      </c>
      <c r="N24" s="149" t="str">
        <f t="shared" si="3"/>
        <v/>
      </c>
      <c r="O24" s="149" t="str">
        <f t="shared" si="4"/>
        <v/>
      </c>
      <c r="P24" s="149" t="str">
        <f t="shared" si="5"/>
        <v/>
      </c>
      <c r="Q24" s="149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6"/>
        <v/>
      </c>
      <c r="I25" s="50" t="str">
        <f t="shared" si="7"/>
        <v/>
      </c>
      <c r="J25" s="50" t="str">
        <f t="shared" si="8"/>
        <v/>
      </c>
      <c r="K25" s="51"/>
      <c r="M25" s="149" t="s">
        <v>234</v>
      </c>
      <c r="N25" s="149" t="str">
        <f t="shared" si="3"/>
        <v/>
      </c>
      <c r="O25" s="149" t="str">
        <f t="shared" si="4"/>
        <v/>
      </c>
      <c r="P25" s="149" t="str">
        <f t="shared" si="5"/>
        <v/>
      </c>
      <c r="Q25" s="149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6"/>
        <v/>
      </c>
      <c r="I26" s="50" t="str">
        <f t="shared" si="7"/>
        <v/>
      </c>
      <c r="J26" s="50" t="str">
        <f t="shared" si="8"/>
        <v/>
      </c>
      <c r="K26" s="51"/>
      <c r="M26" s="149" t="s">
        <v>236</v>
      </c>
      <c r="N26" s="149" t="str">
        <f t="shared" si="3"/>
        <v/>
      </c>
      <c r="O26" s="149" t="str">
        <f t="shared" si="4"/>
        <v/>
      </c>
      <c r="P26" s="149" t="str">
        <f t="shared" si="5"/>
        <v/>
      </c>
      <c r="Q26" s="149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6"/>
        <v/>
      </c>
      <c r="I27" s="50" t="str">
        <f t="shared" si="7"/>
        <v/>
      </c>
      <c r="J27" s="50" t="str">
        <f t="shared" si="8"/>
        <v/>
      </c>
      <c r="K27" s="51"/>
      <c r="M27" s="149" t="s">
        <v>238</v>
      </c>
      <c r="N27" s="149" t="str">
        <f t="shared" si="3"/>
        <v/>
      </c>
      <c r="O27" s="149" t="str">
        <f t="shared" si="4"/>
        <v/>
      </c>
      <c r="P27" s="149" t="str">
        <f t="shared" si="5"/>
        <v/>
      </c>
      <c r="Q27" s="149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6"/>
        <v/>
      </c>
      <c r="I28" s="50" t="str">
        <f t="shared" si="7"/>
        <v/>
      </c>
      <c r="J28" s="50" t="str">
        <f t="shared" si="8"/>
        <v/>
      </c>
      <c r="K28" s="51"/>
      <c r="M28" s="149" t="s">
        <v>240</v>
      </c>
      <c r="N28" s="149" t="str">
        <f t="shared" si="3"/>
        <v/>
      </c>
      <c r="O28" s="149" t="str">
        <f t="shared" si="4"/>
        <v/>
      </c>
      <c r="P28" s="149" t="str">
        <f t="shared" si="5"/>
        <v/>
      </c>
      <c r="Q28" s="149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6"/>
        <v/>
      </c>
      <c r="I29" s="50" t="str">
        <f t="shared" si="7"/>
        <v/>
      </c>
      <c r="J29" s="50" t="str">
        <f t="shared" si="8"/>
        <v/>
      </c>
      <c r="K29" s="51"/>
      <c r="M29" s="149" t="s">
        <v>242</v>
      </c>
      <c r="N29" s="149" t="str">
        <f t="shared" si="3"/>
        <v/>
      </c>
      <c r="O29" s="149" t="str">
        <f t="shared" si="4"/>
        <v/>
      </c>
      <c r="P29" s="149" t="str">
        <f t="shared" si="5"/>
        <v/>
      </c>
      <c r="Q29" s="149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6"/>
        <v/>
      </c>
      <c r="I30" s="50" t="str">
        <f t="shared" si="7"/>
        <v/>
      </c>
      <c r="J30" s="50" t="str">
        <f t="shared" si="8"/>
        <v/>
      </c>
      <c r="K30" s="51"/>
      <c r="M30" s="149" t="s">
        <v>244</v>
      </c>
      <c r="N30" s="149" t="str">
        <f t="shared" si="3"/>
        <v/>
      </c>
      <c r="O30" s="149" t="str">
        <f t="shared" si="4"/>
        <v/>
      </c>
      <c r="P30" s="149" t="str">
        <f t="shared" si="5"/>
        <v/>
      </c>
      <c r="Q30" s="149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6"/>
        <v/>
      </c>
      <c r="I31" s="50" t="str">
        <f t="shared" si="7"/>
        <v/>
      </c>
      <c r="J31" s="50" t="str">
        <f t="shared" si="8"/>
        <v/>
      </c>
      <c r="K31" s="51"/>
      <c r="M31" s="149" t="s">
        <v>246</v>
      </c>
      <c r="N31" s="149" t="str">
        <f t="shared" si="3"/>
        <v/>
      </c>
      <c r="O31" s="149" t="str">
        <f t="shared" si="4"/>
        <v/>
      </c>
      <c r="P31" s="149" t="str">
        <f t="shared" si="5"/>
        <v/>
      </c>
      <c r="Q31" s="149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6"/>
        <v/>
      </c>
      <c r="I32" s="50" t="str">
        <f t="shared" si="7"/>
        <v/>
      </c>
      <c r="J32" s="50" t="str">
        <f t="shared" si="8"/>
        <v/>
      </c>
      <c r="K32" s="51"/>
      <c r="M32" s="149" t="s">
        <v>248</v>
      </c>
      <c r="N32" s="149" t="str">
        <f t="shared" si="3"/>
        <v/>
      </c>
      <c r="O32" s="149" t="str">
        <f t="shared" si="4"/>
        <v/>
      </c>
      <c r="P32" s="149" t="str">
        <f t="shared" si="5"/>
        <v/>
      </c>
      <c r="Q32" s="149">
        <v>2</v>
      </c>
    </row>
    <row r="33" spans="2:17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  <c r="M33" s="148"/>
      <c r="N33" s="148"/>
      <c r="O33" s="148"/>
      <c r="P33" s="148"/>
      <c r="Q33" s="148"/>
    </row>
    <row r="34" spans="2:17" x14ac:dyDescent="0.35">
      <c r="M34" s="148"/>
      <c r="N34" s="148"/>
      <c r="O34" s="148"/>
      <c r="P34" s="148"/>
      <c r="Q34" s="148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64" priority="2" operator="equal">
      <formula>"L1 - Developing"</formula>
    </cfRule>
    <cfRule type="cellIs" dxfId="163" priority="3" operator="equal">
      <formula>"L2 - Proficient"</formula>
    </cfRule>
    <cfRule type="cellIs" dxfId="162" priority="4" operator="equal">
      <formula>"L3 - Advanced"</formula>
    </cfRule>
  </conditionalFormatting>
  <conditionalFormatting sqref="H11:J32">
    <cfRule type="cellIs" dxfId="161" priority="5" operator="equal">
      <formula>1</formula>
    </cfRule>
    <cfRule type="cellIs" dxfId="160" priority="6" operator="equal">
      <formula>2</formula>
    </cfRule>
    <cfRule type="cellIs" dxfId="159" priority="7" operator="equal">
      <formula>3</formula>
    </cfRule>
  </conditionalFormatting>
  <dataValidations count="1">
    <dataValidation type="list" showErrorMessage="1" errorTitle="Invalid" error="Choose L1, L2, or L3" sqref="E11:G32" xr:uid="{00000000-0002-0000-02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2FE"/>
  </sheetPr>
  <dimension ref="A1:AH33"/>
  <sheetViews>
    <sheetView showGridLines="0" showRowColHeaders="0" zoomScaleNormal="100" workbookViewId="0">
      <pane xSplit="2" ySplit="10" topLeftCell="C13" activePane="bottomRight" state="frozen"/>
      <selection pane="topRight" activeCell="C1" sqref="C1"/>
      <selection pane="bottomLeft" activeCell="A11" sqref="A11"/>
      <selection pane="bottomRight" activeCell="F18" sqref="F18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250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251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24</v>
      </c>
      <c r="E7" s="32" t="s">
        <v>17</v>
      </c>
      <c r="G7" s="33" t="s">
        <v>25</v>
      </c>
      <c r="H7" s="32" t="s">
        <v>18</v>
      </c>
      <c r="I7" s="34" t="s">
        <v>22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58" priority="2" operator="equal">
      <formula>"L1 - Developing"</formula>
    </cfRule>
    <cfRule type="cellIs" dxfId="157" priority="3" operator="equal">
      <formula>"L2 - Proficient"</formula>
    </cfRule>
    <cfRule type="cellIs" dxfId="156" priority="4" operator="equal">
      <formula>"L3 - Advanced"</formula>
    </cfRule>
  </conditionalFormatting>
  <conditionalFormatting sqref="H11:J32">
    <cfRule type="cellIs" dxfId="155" priority="5" operator="equal">
      <formula>1</formula>
    </cfRule>
    <cfRule type="cellIs" dxfId="154" priority="6" operator="equal">
      <formula>2</formula>
    </cfRule>
    <cfRule type="cellIs" dxfId="153" priority="7" operator="equal">
      <formula>3</formula>
    </cfRule>
  </conditionalFormatting>
  <dataValidations count="1">
    <dataValidation type="list" showErrorMessage="1" errorTitle="Invalid" error="Choose L1, L2, or L3" sqref="E11:G32" xr:uid="{00000000-0002-0000-03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2FE"/>
  </sheetPr>
  <dimension ref="A1:AH33"/>
  <sheetViews>
    <sheetView showGridLines="0" showRowColHeaders="0" zoomScaleNormal="100" workbookViewId="0">
      <pane xSplit="2" ySplit="10" topLeftCell="C24" activePane="bottomRight" state="frozen"/>
      <selection pane="topRight" activeCell="C1" sqref="C1"/>
      <selection pane="bottomLeft" activeCell="A11" sqref="A11"/>
      <selection pane="bottomRight" activeCell="H28" sqref="H28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252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253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27</v>
      </c>
      <c r="E7" s="32" t="s">
        <v>17</v>
      </c>
      <c r="G7" s="33" t="s">
        <v>28</v>
      </c>
      <c r="H7" s="32" t="s">
        <v>18</v>
      </c>
      <c r="I7" s="34" t="s">
        <v>22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52" priority="2" operator="equal">
      <formula>"L1 - Developing"</formula>
    </cfRule>
    <cfRule type="cellIs" dxfId="151" priority="3" operator="equal">
      <formula>"L2 - Proficient"</formula>
    </cfRule>
    <cfRule type="cellIs" dxfId="150" priority="4" operator="equal">
      <formula>"L3 - Advanced"</formula>
    </cfRule>
  </conditionalFormatting>
  <conditionalFormatting sqref="H11:J32">
    <cfRule type="cellIs" dxfId="149" priority="5" operator="equal">
      <formula>1</formula>
    </cfRule>
    <cfRule type="cellIs" dxfId="148" priority="6" operator="equal">
      <formula>2</formula>
    </cfRule>
    <cfRule type="cellIs" dxfId="147" priority="7" operator="equal">
      <formula>3</formula>
    </cfRule>
  </conditionalFormatting>
  <dataValidations count="1">
    <dataValidation type="list" showErrorMessage="1" errorTitle="Invalid" error="Choose L1, L2, or L3" sqref="E11:G32" xr:uid="{00000000-0002-0000-04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254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255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29</v>
      </c>
      <c r="E7" s="32" t="s">
        <v>17</v>
      </c>
      <c r="G7" s="33" t="s">
        <v>30</v>
      </c>
      <c r="H7" s="32" t="s">
        <v>18</v>
      </c>
      <c r="I7" s="34" t="s">
        <v>22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46" priority="2" operator="equal">
      <formula>"L1 - Developing"</formula>
    </cfRule>
    <cfRule type="cellIs" dxfId="145" priority="3" operator="equal">
      <formula>"L2 - Proficient"</formula>
    </cfRule>
    <cfRule type="cellIs" dxfId="144" priority="4" operator="equal">
      <formula>"L3 - Advanced"</formula>
    </cfRule>
  </conditionalFormatting>
  <conditionalFormatting sqref="H11:J32">
    <cfRule type="cellIs" dxfId="143" priority="5" operator="equal">
      <formula>1</formula>
    </cfRule>
    <cfRule type="cellIs" dxfId="142" priority="6" operator="equal">
      <formula>2</formula>
    </cfRule>
    <cfRule type="cellIs" dxfId="141" priority="7" operator="equal">
      <formula>3</formula>
    </cfRule>
  </conditionalFormatting>
  <dataValidations count="1">
    <dataValidation type="list" showErrorMessage="1" errorTitle="Invalid" error="Choose L1, L2, or L3" sqref="E11:G32" xr:uid="{00000000-0002-0000-05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256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257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31</v>
      </c>
      <c r="E7" s="32" t="s">
        <v>17</v>
      </c>
      <c r="G7" s="33" t="s">
        <v>32</v>
      </c>
      <c r="H7" s="32" t="s">
        <v>18</v>
      </c>
      <c r="I7" s="34" t="s">
        <v>22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40" priority="2" operator="equal">
      <formula>"L1 - Developing"</formula>
    </cfRule>
    <cfRule type="cellIs" dxfId="139" priority="3" operator="equal">
      <formula>"L2 - Proficient"</formula>
    </cfRule>
    <cfRule type="cellIs" dxfId="138" priority="4" operator="equal">
      <formula>"L3 - Advanced"</formula>
    </cfRule>
  </conditionalFormatting>
  <conditionalFormatting sqref="H11:J32">
    <cfRule type="cellIs" dxfId="137" priority="5" operator="equal">
      <formula>1</formula>
    </cfRule>
    <cfRule type="cellIs" dxfId="136" priority="6" operator="equal">
      <formula>2</formula>
    </cfRule>
    <cfRule type="cellIs" dxfId="135" priority="7" operator="equal">
      <formula>3</formula>
    </cfRule>
  </conditionalFormatting>
  <dataValidations count="1">
    <dataValidation type="list" showErrorMessage="1" errorTitle="Invalid" error="Choose L1, L2, or L3" sqref="E11:G32" xr:uid="{00000000-0002-0000-06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I7" sqref="I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258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259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33</v>
      </c>
      <c r="E7" s="32" t="s">
        <v>17</v>
      </c>
      <c r="G7" s="33" t="s">
        <v>34</v>
      </c>
      <c r="H7" s="32" t="s">
        <v>18</v>
      </c>
      <c r="I7" s="34" t="s">
        <v>22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34" priority="2" operator="equal">
      <formula>"L1 - Developing"</formula>
    </cfRule>
    <cfRule type="cellIs" dxfId="133" priority="3" operator="equal">
      <formula>"L2 - Proficient"</formula>
    </cfRule>
    <cfRule type="cellIs" dxfId="132" priority="4" operator="equal">
      <formula>"L3 - Advanced"</formula>
    </cfRule>
  </conditionalFormatting>
  <conditionalFormatting sqref="H11:J32">
    <cfRule type="cellIs" dxfId="131" priority="5" operator="equal">
      <formula>1</formula>
    </cfRule>
    <cfRule type="cellIs" dxfId="130" priority="6" operator="equal">
      <formula>2</formula>
    </cfRule>
    <cfRule type="cellIs" dxfId="129" priority="7" operator="equal">
      <formula>3</formula>
    </cfRule>
  </conditionalFormatting>
  <dataValidations count="1">
    <dataValidation type="list" showErrorMessage="1" errorTitle="Invalid" error="Choose L1, L2, or L3" sqref="E11:G32" xr:uid="{00000000-0002-0000-07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I7" sqref="I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260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261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35</v>
      </c>
      <c r="E7" s="32" t="s">
        <v>17</v>
      </c>
      <c r="G7" s="33" t="s">
        <v>36</v>
      </c>
      <c r="H7" s="32" t="s">
        <v>18</v>
      </c>
      <c r="I7" s="34" t="s">
        <v>22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28" priority="2" operator="equal">
      <formula>"L1 - Developing"</formula>
    </cfRule>
    <cfRule type="cellIs" dxfId="127" priority="3" operator="equal">
      <formula>"L2 - Proficient"</formula>
    </cfRule>
    <cfRule type="cellIs" dxfId="126" priority="4" operator="equal">
      <formula>"L3 - Advanced"</formula>
    </cfRule>
  </conditionalFormatting>
  <conditionalFormatting sqref="H11:J32">
    <cfRule type="cellIs" dxfId="125" priority="5" operator="equal">
      <formula>1</formula>
    </cfRule>
    <cfRule type="cellIs" dxfId="124" priority="6" operator="equal">
      <formula>2</formula>
    </cfRule>
    <cfRule type="cellIs" dxfId="123" priority="7" operator="equal">
      <formula>3</formula>
    </cfRule>
  </conditionalFormatting>
  <dataValidations count="1">
    <dataValidation type="list" showErrorMessage="1" errorTitle="Invalid" error="Choose L1, L2, or L3" sqref="E11:G32" xr:uid="{00000000-0002-0000-08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I7" sqref="I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262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263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38</v>
      </c>
      <c r="E7" s="32" t="s">
        <v>17</v>
      </c>
      <c r="G7" s="33" t="s">
        <v>39</v>
      </c>
      <c r="H7" s="32" t="s">
        <v>18</v>
      </c>
      <c r="I7" s="34" t="s">
        <v>22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22" priority="2" operator="equal">
      <formula>"L1 - Developing"</formula>
    </cfRule>
    <cfRule type="cellIs" dxfId="121" priority="3" operator="equal">
      <formula>"L2 - Proficient"</formula>
    </cfRule>
    <cfRule type="cellIs" dxfId="120" priority="4" operator="equal">
      <formula>"L3 - Advanced"</formula>
    </cfRule>
  </conditionalFormatting>
  <conditionalFormatting sqref="H11:J32">
    <cfRule type="cellIs" dxfId="119" priority="5" operator="equal">
      <formula>1</formula>
    </cfRule>
    <cfRule type="cellIs" dxfId="118" priority="6" operator="equal">
      <formula>2</formula>
    </cfRule>
    <cfRule type="cellIs" dxfId="117" priority="7" operator="equal">
      <formula>3</formula>
    </cfRule>
  </conditionalFormatting>
  <dataValidations count="1">
    <dataValidation type="list" showErrorMessage="1" errorTitle="Invalid" error="Choose L1, L2, or L3" sqref="E11:G32" xr:uid="{00000000-0002-0000-09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F62FE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K14" sqref="K14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264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265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40</v>
      </c>
      <c r="E7" s="32" t="s">
        <v>17</v>
      </c>
      <c r="G7" s="33" t="s">
        <v>41</v>
      </c>
      <c r="H7" s="32" t="s">
        <v>18</v>
      </c>
      <c r="I7" s="34" t="s">
        <v>22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16" priority="2" operator="equal">
      <formula>"L1 - Developing"</formula>
    </cfRule>
    <cfRule type="cellIs" dxfId="115" priority="3" operator="equal">
      <formula>"L2 - Proficient"</formula>
    </cfRule>
    <cfRule type="cellIs" dxfId="114" priority="4" operator="equal">
      <formula>"L3 - Advanced"</formula>
    </cfRule>
  </conditionalFormatting>
  <conditionalFormatting sqref="H11:J32">
    <cfRule type="cellIs" dxfId="113" priority="5" operator="equal">
      <formula>1</formula>
    </cfRule>
    <cfRule type="cellIs" dxfId="112" priority="6" operator="equal">
      <formula>2</formula>
    </cfRule>
    <cfRule type="cellIs" dxfId="111" priority="7" operator="equal">
      <formula>3</formula>
    </cfRule>
  </conditionalFormatting>
  <dataValidations count="1">
    <dataValidation type="list" showErrorMessage="1" errorTitle="Invalid" error="Choose L1, L2, or L3" sqref="E11:G32" xr:uid="{00000000-0002-0000-0A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9E4D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266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267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42</v>
      </c>
      <c r="E7" s="32" t="s">
        <v>17</v>
      </c>
      <c r="G7" s="33" t="s">
        <v>43</v>
      </c>
      <c r="H7" s="32" t="s">
        <v>18</v>
      </c>
      <c r="I7" s="91" t="s">
        <v>37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10" priority="2" operator="equal">
      <formula>"L1 - Developing"</formula>
    </cfRule>
    <cfRule type="cellIs" dxfId="109" priority="3" operator="equal">
      <formula>"L2 - Proficient"</formula>
    </cfRule>
    <cfRule type="cellIs" dxfId="108" priority="4" operator="equal">
      <formula>"L3 - Advanced"</formula>
    </cfRule>
  </conditionalFormatting>
  <conditionalFormatting sqref="H11:J32">
    <cfRule type="cellIs" dxfId="107" priority="5" operator="equal">
      <formula>1</formula>
    </cfRule>
    <cfRule type="cellIs" dxfId="106" priority="6" operator="equal">
      <formula>2</formula>
    </cfRule>
    <cfRule type="cellIs" dxfId="105" priority="7" operator="equal">
      <formula>3</formula>
    </cfRule>
  </conditionalFormatting>
  <dataValidations count="1">
    <dataValidation type="list" showErrorMessage="1" errorTitle="Invalid" error="Choose L1, L2, or L3" sqref="E11:G32" xr:uid="{00000000-0002-0000-0B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9E4D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268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269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44</v>
      </c>
      <c r="E7" s="32" t="s">
        <v>17</v>
      </c>
      <c r="G7" s="33" t="s">
        <v>45</v>
      </c>
      <c r="H7" s="32" t="s">
        <v>18</v>
      </c>
      <c r="I7" s="91" t="s">
        <v>37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104" priority="2" operator="equal">
      <formula>"L1 - Developing"</formula>
    </cfRule>
    <cfRule type="cellIs" dxfId="103" priority="3" operator="equal">
      <formula>"L2 - Proficient"</formula>
    </cfRule>
    <cfRule type="cellIs" dxfId="102" priority="4" operator="equal">
      <formula>"L3 - Advanced"</formula>
    </cfRule>
  </conditionalFormatting>
  <conditionalFormatting sqref="H11:J32">
    <cfRule type="cellIs" dxfId="101" priority="5" operator="equal">
      <formula>1</formula>
    </cfRule>
    <cfRule type="cellIs" dxfId="100" priority="6" operator="equal">
      <formula>2</formula>
    </cfRule>
    <cfRule type="cellIs" dxfId="99" priority="7" operator="equal">
      <formula>3</formula>
    </cfRule>
  </conditionalFormatting>
  <dataValidations count="1">
    <dataValidation type="list" showErrorMessage="1" errorTitle="Invalid" error="Choose L1, L2, or L3" sqref="E11:G32" xr:uid="{00000000-0002-0000-0C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9E4D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13" sqref="G13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270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271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46</v>
      </c>
      <c r="E7" s="32" t="s">
        <v>17</v>
      </c>
      <c r="G7" s="33" t="s">
        <v>47</v>
      </c>
      <c r="H7" s="32" t="s">
        <v>18</v>
      </c>
      <c r="I7" s="91" t="s">
        <v>37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98" priority="2" operator="equal">
      <formula>"L1 - Developing"</formula>
    </cfRule>
    <cfRule type="cellIs" dxfId="97" priority="3" operator="equal">
      <formula>"L2 - Proficient"</formula>
    </cfRule>
    <cfRule type="cellIs" dxfId="96" priority="4" operator="equal">
      <formula>"L3 - Advanced"</formula>
    </cfRule>
  </conditionalFormatting>
  <conditionalFormatting sqref="H11:J32">
    <cfRule type="cellIs" dxfId="95" priority="5" operator="equal">
      <formula>1</formula>
    </cfRule>
    <cfRule type="cellIs" dxfId="94" priority="6" operator="equal">
      <formula>2</formula>
    </cfRule>
    <cfRule type="cellIs" dxfId="93" priority="7" operator="equal">
      <formula>3</formula>
    </cfRule>
  </conditionalFormatting>
  <dataValidations count="1">
    <dataValidation type="list" showErrorMessage="1" errorTitle="Invalid" error="Choose L1, L2, or L3" sqref="E11:G32" xr:uid="{00000000-0002-0000-0D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273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48</v>
      </c>
      <c r="E7" s="32" t="s">
        <v>17</v>
      </c>
      <c r="G7" s="33" t="s">
        <v>49</v>
      </c>
      <c r="H7" s="32" t="s">
        <v>18</v>
      </c>
      <c r="I7" s="92" t="s">
        <v>50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92" priority="2" operator="equal">
      <formula>"L1 - Developing"</formula>
    </cfRule>
    <cfRule type="cellIs" dxfId="91" priority="3" operator="equal">
      <formula>"L2 - Proficient"</formula>
    </cfRule>
    <cfRule type="cellIs" dxfId="90" priority="4" operator="equal">
      <formula>"L3 - Advanced"</formula>
    </cfRule>
  </conditionalFormatting>
  <conditionalFormatting sqref="H11:J32">
    <cfRule type="cellIs" dxfId="89" priority="5" operator="equal">
      <formula>1</formula>
    </cfRule>
    <cfRule type="cellIs" dxfId="88" priority="6" operator="equal">
      <formula>2</formula>
    </cfRule>
    <cfRule type="cellIs" dxfId="87" priority="7" operator="equal">
      <formula>3</formula>
    </cfRule>
  </conditionalFormatting>
  <dataValidations count="1">
    <dataValidation type="list" showErrorMessage="1" errorTitle="Invalid" error="Choose L1, L2, or L3" sqref="E11:G32" xr:uid="{00000000-0002-0000-0E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274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275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51</v>
      </c>
      <c r="E7" s="32" t="s">
        <v>17</v>
      </c>
      <c r="G7" s="33" t="s">
        <v>52</v>
      </c>
      <c r="H7" s="32" t="s">
        <v>18</v>
      </c>
      <c r="I7" s="92" t="s">
        <v>50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86" priority="2" operator="equal">
      <formula>"L1 - Developing"</formula>
    </cfRule>
    <cfRule type="cellIs" dxfId="85" priority="3" operator="equal">
      <formula>"L2 - Proficient"</formula>
    </cfRule>
    <cfRule type="cellIs" dxfId="84" priority="4" operator="equal">
      <formula>"L3 - Advanced"</formula>
    </cfRule>
  </conditionalFormatting>
  <conditionalFormatting sqref="H11:J32">
    <cfRule type="cellIs" dxfId="83" priority="5" operator="equal">
      <formula>1</formula>
    </cfRule>
    <cfRule type="cellIs" dxfId="82" priority="6" operator="equal">
      <formula>2</formula>
    </cfRule>
    <cfRule type="cellIs" dxfId="81" priority="7" operator="equal">
      <formula>3</formula>
    </cfRule>
  </conditionalFormatting>
  <dataValidations count="1">
    <dataValidation type="list" showErrorMessage="1" errorTitle="Invalid" error="Choose L1, L2, or L3" sqref="E11:G32" xr:uid="{00000000-0002-0000-0F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277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53</v>
      </c>
      <c r="E7" s="32" t="s">
        <v>17</v>
      </c>
      <c r="G7" s="33" t="s">
        <v>54</v>
      </c>
      <c r="H7" s="32" t="s">
        <v>18</v>
      </c>
      <c r="I7" s="92" t="s">
        <v>50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80" priority="2" operator="equal">
      <formula>"L1 - Developing"</formula>
    </cfRule>
    <cfRule type="cellIs" dxfId="79" priority="3" operator="equal">
      <formula>"L2 - Proficient"</formula>
    </cfRule>
    <cfRule type="cellIs" dxfId="78" priority="4" operator="equal">
      <formula>"L3 - Advanced"</formula>
    </cfRule>
  </conditionalFormatting>
  <conditionalFormatting sqref="H11:J32">
    <cfRule type="cellIs" dxfId="77" priority="5" operator="equal">
      <formula>1</formula>
    </cfRule>
    <cfRule type="cellIs" dxfId="76" priority="6" operator="equal">
      <formula>2</formula>
    </cfRule>
    <cfRule type="cellIs" dxfId="75" priority="7" operator="equal">
      <formula>3</formula>
    </cfRule>
  </conditionalFormatting>
  <dataValidations count="1">
    <dataValidation type="list" showErrorMessage="1" errorTitle="Invalid" error="Choose L1, L2, or L3" sqref="E11:G32" xr:uid="{00000000-0002-0000-10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278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279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55</v>
      </c>
      <c r="E7" s="32" t="s">
        <v>17</v>
      </c>
      <c r="G7" s="33" t="s">
        <v>56</v>
      </c>
      <c r="H7" s="32" t="s">
        <v>18</v>
      </c>
      <c r="I7" s="92" t="s">
        <v>50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74" priority="2" operator="equal">
      <formula>"L1 - Developing"</formula>
    </cfRule>
    <cfRule type="cellIs" dxfId="73" priority="3" operator="equal">
      <formula>"L2 - Proficient"</formula>
    </cfRule>
    <cfRule type="cellIs" dxfId="72" priority="4" operator="equal">
      <formula>"L3 - Advanced"</formula>
    </cfRule>
  </conditionalFormatting>
  <conditionalFormatting sqref="H11:J32">
    <cfRule type="cellIs" dxfId="71" priority="5" operator="equal">
      <formula>1</formula>
    </cfRule>
    <cfRule type="cellIs" dxfId="70" priority="6" operator="equal">
      <formula>2</formula>
    </cfRule>
    <cfRule type="cellIs" dxfId="69" priority="7" operator="equal">
      <formula>3</formula>
    </cfRule>
  </conditionalFormatting>
  <dataValidations count="1">
    <dataValidation type="list" showErrorMessage="1" errorTitle="Invalid" error="Choose L1, L2, or L3" sqref="E11:G32" xr:uid="{00000000-0002-0000-11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280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57</v>
      </c>
      <c r="E7" s="32" t="s">
        <v>17</v>
      </c>
      <c r="G7" s="33" t="s">
        <v>58</v>
      </c>
      <c r="H7" s="32" t="s">
        <v>18</v>
      </c>
      <c r="I7" s="92" t="s">
        <v>50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68" priority="2" operator="equal">
      <formula>"L1 - Developing"</formula>
    </cfRule>
    <cfRule type="cellIs" dxfId="67" priority="3" operator="equal">
      <formula>"L2 - Proficient"</formula>
    </cfRule>
    <cfRule type="cellIs" dxfId="66" priority="4" operator="equal">
      <formula>"L3 - Advanced"</formula>
    </cfRule>
  </conditionalFormatting>
  <conditionalFormatting sqref="H11:J32">
    <cfRule type="cellIs" dxfId="65" priority="5" operator="equal">
      <formula>1</formula>
    </cfRule>
    <cfRule type="cellIs" dxfId="64" priority="6" operator="equal">
      <formula>2</formula>
    </cfRule>
    <cfRule type="cellIs" dxfId="63" priority="7" operator="equal">
      <formula>3</formula>
    </cfRule>
  </conditionalFormatting>
  <dataValidations count="1">
    <dataValidation type="list" showErrorMessage="1" errorTitle="Invalid" error="Choose L1, L2, or L3" sqref="E11:G32" xr:uid="{00000000-0002-0000-12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D4520A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5" sqref="E15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282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283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59</v>
      </c>
      <c r="E7" s="32" t="s">
        <v>17</v>
      </c>
      <c r="G7" s="33" t="s">
        <v>60</v>
      </c>
      <c r="H7" s="32" t="s">
        <v>18</v>
      </c>
      <c r="I7" s="92" t="s">
        <v>50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62" priority="2" operator="equal">
      <formula>"L1 - Developing"</formula>
    </cfRule>
    <cfRule type="cellIs" dxfId="61" priority="3" operator="equal">
      <formula>"L2 - Proficient"</formula>
    </cfRule>
    <cfRule type="cellIs" dxfId="60" priority="4" operator="equal">
      <formula>"L3 - Advanced"</formula>
    </cfRule>
  </conditionalFormatting>
  <conditionalFormatting sqref="H11:J32">
    <cfRule type="cellIs" dxfId="59" priority="5" operator="equal">
      <formula>1</formula>
    </cfRule>
    <cfRule type="cellIs" dxfId="58" priority="6" operator="equal">
      <formula>2</formula>
    </cfRule>
    <cfRule type="cellIs" dxfId="57" priority="7" operator="equal">
      <formula>3</formula>
    </cfRule>
  </conditionalFormatting>
  <dataValidations count="1">
    <dataValidation type="list" showErrorMessage="1" errorTitle="Invalid" error="Choose L1, L2, or L3" sqref="E11:G32" xr:uid="{00000000-0002-0000-13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7" sqref="G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272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284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61</v>
      </c>
      <c r="E7" s="32" t="s">
        <v>17</v>
      </c>
      <c r="G7" s="33" t="s">
        <v>49</v>
      </c>
      <c r="H7" s="32" t="s">
        <v>18</v>
      </c>
      <c r="I7" s="93" t="s">
        <v>63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56" priority="2" operator="equal">
      <formula>"L1 - Developing"</formula>
    </cfRule>
    <cfRule type="cellIs" dxfId="55" priority="3" operator="equal">
      <formula>"L2 - Proficient"</formula>
    </cfRule>
    <cfRule type="cellIs" dxfId="54" priority="4" operator="equal">
      <formula>"L3 - Advanced"</formula>
    </cfRule>
  </conditionalFormatting>
  <conditionalFormatting sqref="H11:J32">
    <cfRule type="cellIs" dxfId="53" priority="5" operator="equal">
      <formula>1</formula>
    </cfRule>
    <cfRule type="cellIs" dxfId="52" priority="6" operator="equal">
      <formula>2</formula>
    </cfRule>
    <cfRule type="cellIs" dxfId="51" priority="7" operator="equal">
      <formula>3</formula>
    </cfRule>
  </conditionalFormatting>
  <dataValidations count="1">
    <dataValidation type="list" showErrorMessage="1" errorTitle="Invalid" error="Choose L1, L2, or L3" sqref="E11:G32" xr:uid="{00000000-0002-0000-14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7" sqref="G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274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64</v>
      </c>
      <c r="E7" s="32" t="s">
        <v>17</v>
      </c>
      <c r="G7" s="33" t="s">
        <v>52</v>
      </c>
      <c r="H7" s="32" t="s">
        <v>18</v>
      </c>
      <c r="I7" s="93" t="s">
        <v>63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50" priority="2" operator="equal">
      <formula>"L1 - Developing"</formula>
    </cfRule>
    <cfRule type="cellIs" dxfId="49" priority="3" operator="equal">
      <formula>"L2 - Proficient"</formula>
    </cfRule>
    <cfRule type="cellIs" dxfId="48" priority="4" operator="equal">
      <formula>"L3 - Advanced"</formula>
    </cfRule>
  </conditionalFormatting>
  <conditionalFormatting sqref="H11:J32">
    <cfRule type="cellIs" dxfId="47" priority="5" operator="equal">
      <formula>1</formula>
    </cfRule>
    <cfRule type="cellIs" dxfId="46" priority="6" operator="equal">
      <formula>2</formula>
    </cfRule>
    <cfRule type="cellIs" dxfId="45" priority="7" operator="equal">
      <formula>3</formula>
    </cfRule>
  </conditionalFormatting>
  <dataValidations count="1">
    <dataValidation type="list" showErrorMessage="1" errorTitle="Invalid" error="Choose L1, L2, or L3" sqref="E11:G32" xr:uid="{00000000-0002-0000-15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B47B8"/>
  </sheetPr>
  <dimension ref="A1:AH33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7" sqref="G7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276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286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66</v>
      </c>
      <c r="E7" s="32" t="s">
        <v>17</v>
      </c>
      <c r="G7" s="33" t="s">
        <v>54</v>
      </c>
      <c r="H7" s="32" t="s">
        <v>18</v>
      </c>
      <c r="I7" s="93" t="s">
        <v>63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44" priority="2" operator="equal">
      <formula>"L1 - Developing"</formula>
    </cfRule>
    <cfRule type="cellIs" dxfId="43" priority="3" operator="equal">
      <formula>"L2 - Proficient"</formula>
    </cfRule>
    <cfRule type="cellIs" dxfId="42" priority="4" operator="equal">
      <formula>"L3 - Advanced"</formula>
    </cfRule>
  </conditionalFormatting>
  <conditionalFormatting sqref="H11:J32">
    <cfRule type="cellIs" dxfId="41" priority="5" operator="equal">
      <formula>1</formula>
    </cfRule>
    <cfRule type="cellIs" dxfId="40" priority="6" operator="equal">
      <formula>2</formula>
    </cfRule>
    <cfRule type="cellIs" dxfId="39" priority="7" operator="equal">
      <formula>3</formula>
    </cfRule>
  </conditionalFormatting>
  <dataValidations count="1">
    <dataValidation type="list" showErrorMessage="1" errorTitle="Invalid" error="Choose L1, L2, or L3" sqref="E11:G32" xr:uid="{00000000-0002-0000-16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287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288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68</v>
      </c>
      <c r="E7" s="32" t="s">
        <v>17</v>
      </c>
      <c r="G7" s="33" t="s">
        <v>69</v>
      </c>
      <c r="H7" s="32" t="s">
        <v>18</v>
      </c>
      <c r="I7" s="93" t="s">
        <v>63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38" priority="2" operator="equal">
      <formula>"L1 - Developing"</formula>
    </cfRule>
    <cfRule type="cellIs" dxfId="37" priority="3" operator="equal">
      <formula>"L2 - Proficient"</formula>
    </cfRule>
    <cfRule type="cellIs" dxfId="36" priority="4" operator="equal">
      <formula>"L3 - Advanced"</formula>
    </cfRule>
  </conditionalFormatting>
  <conditionalFormatting sqref="H11:J32">
    <cfRule type="cellIs" dxfId="35" priority="5" operator="equal">
      <formula>1</formula>
    </cfRule>
    <cfRule type="cellIs" dxfId="34" priority="6" operator="equal">
      <formula>2</formula>
    </cfRule>
    <cfRule type="cellIs" dxfId="33" priority="7" operator="equal">
      <formula>3</formula>
    </cfRule>
  </conditionalFormatting>
  <dataValidations count="1">
    <dataValidation type="list" showErrorMessage="1" errorTitle="Invalid" error="Choose L1, L2, or L3" sqref="E11:G32" xr:uid="{00000000-0002-0000-17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289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290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70</v>
      </c>
      <c r="E7" s="32" t="s">
        <v>17</v>
      </c>
      <c r="G7" s="33" t="s">
        <v>71</v>
      </c>
      <c r="H7" s="32" t="s">
        <v>18</v>
      </c>
      <c r="I7" s="93" t="s">
        <v>63</v>
      </c>
      <c r="J7" s="32" t="s">
        <v>19</v>
      </c>
      <c r="K7" s="35" t="s">
        <v>26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32" priority="2" operator="equal">
      <formula>"L1 - Developing"</formula>
    </cfRule>
    <cfRule type="cellIs" dxfId="31" priority="3" operator="equal">
      <formula>"L2 - Proficient"</formula>
    </cfRule>
    <cfRule type="cellIs" dxfId="30" priority="4" operator="equal">
      <formula>"L3 - Advanced"</formula>
    </cfRule>
  </conditionalFormatting>
  <conditionalFormatting sqref="H11:J32">
    <cfRule type="cellIs" dxfId="29" priority="5" operator="equal">
      <formula>1</formula>
    </cfRule>
    <cfRule type="cellIs" dxfId="28" priority="6" operator="equal">
      <formula>2</formula>
    </cfRule>
    <cfRule type="cellIs" dxfId="27" priority="7" operator="equal">
      <formula>3</formula>
    </cfRule>
  </conditionalFormatting>
  <dataValidations count="1">
    <dataValidation type="list" showErrorMessage="1" errorTitle="Invalid" error="Choose L1, L2, or L3" sqref="E11:G32" xr:uid="{00000000-0002-0000-18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291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292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72</v>
      </c>
      <c r="E7" s="32" t="s">
        <v>17</v>
      </c>
      <c r="G7" s="33" t="s">
        <v>73</v>
      </c>
      <c r="H7" s="32" t="s">
        <v>18</v>
      </c>
      <c r="I7" s="93" t="s">
        <v>63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26" priority="2" operator="equal">
      <formula>"L1 - Developing"</formula>
    </cfRule>
    <cfRule type="cellIs" dxfId="25" priority="3" operator="equal">
      <formula>"L2 - Proficient"</formula>
    </cfRule>
    <cfRule type="cellIs" dxfId="24" priority="4" operator="equal">
      <formula>"L3 - Advanced"</formula>
    </cfRule>
  </conditionalFormatting>
  <conditionalFormatting sqref="H11:J32">
    <cfRule type="cellIs" dxfId="23" priority="5" operator="equal">
      <formula>1</formula>
    </cfRule>
    <cfRule type="cellIs" dxfId="22" priority="6" operator="equal">
      <formula>2</formula>
    </cfRule>
    <cfRule type="cellIs" dxfId="21" priority="7" operator="equal">
      <formula>3</formula>
    </cfRule>
  </conditionalFormatting>
  <dataValidations count="1">
    <dataValidation type="list" showErrorMessage="1" errorTitle="Invalid" error="Choose L1, L2, or L3" sqref="E11:G32" xr:uid="{00000000-0002-0000-19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6B47B8"/>
  </sheetPr>
  <dimension ref="A1:AH33"/>
  <sheetViews>
    <sheetView showGridLines="0" showRowColHeader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0" sqref="E10:G10"/>
    </sheetView>
  </sheetViews>
  <sheetFormatPr defaultColWidth="8.54296875" defaultRowHeight="14.5" x14ac:dyDescent="0.35"/>
  <cols>
    <col min="1" max="1" width="1.54296875" customWidth="1"/>
    <col min="2" max="2" width="28" customWidth="1"/>
    <col min="3" max="4" width="6" customWidth="1"/>
    <col min="5" max="7" width="14" customWidth="1"/>
    <col min="8" max="10" width="9" customWidth="1"/>
    <col min="11" max="11" width="30" customWidth="1"/>
    <col min="12" max="12" width="1.54296875" customWidth="1"/>
    <col min="13" max="17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293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294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 x14ac:dyDescent="0.35">
      <c r="B7" s="32" t="s">
        <v>188</v>
      </c>
      <c r="D7" s="33" t="s">
        <v>74</v>
      </c>
      <c r="E7" s="32" t="s">
        <v>17</v>
      </c>
      <c r="G7" s="33" t="s">
        <v>75</v>
      </c>
      <c r="H7" s="32" t="s">
        <v>18</v>
      </c>
      <c r="I7" s="93" t="s">
        <v>63</v>
      </c>
      <c r="J7" s="32" t="s">
        <v>19</v>
      </c>
      <c r="K7" s="35" t="s">
        <v>23</v>
      </c>
    </row>
    <row r="8" spans="1:34" ht="21.75" customHeight="1" x14ac:dyDescent="0.35">
      <c r="B8" s="32" t="s">
        <v>189</v>
      </c>
      <c r="D8" s="36"/>
      <c r="E8" s="32" t="s">
        <v>190</v>
      </c>
      <c r="G8" s="37"/>
      <c r="H8" s="32" t="s">
        <v>191</v>
      </c>
      <c r="J8" s="38"/>
    </row>
    <row r="9" spans="1:34" ht="18" customHeight="1" x14ac:dyDescent="0.35">
      <c r="B9" s="39"/>
      <c r="C9" s="39"/>
      <c r="D9" s="39"/>
      <c r="E9" s="40" t="s">
        <v>192</v>
      </c>
      <c r="F9" s="41" t="s">
        <v>193</v>
      </c>
      <c r="G9" s="42" t="s">
        <v>194</v>
      </c>
      <c r="H9" s="39"/>
      <c r="I9" s="39"/>
      <c r="J9" s="39"/>
      <c r="K9" s="39"/>
    </row>
    <row r="10" spans="1:34" ht="30" customHeight="1" x14ac:dyDescent="0.35">
      <c r="B10" s="43" t="s">
        <v>78</v>
      </c>
      <c r="C10" s="43" t="s">
        <v>80</v>
      </c>
      <c r="D10" s="43" t="s">
        <v>195</v>
      </c>
      <c r="E10" s="144" t="s">
        <v>196</v>
      </c>
      <c r="F10" s="145" t="s">
        <v>197</v>
      </c>
      <c r="G10" s="146" t="s">
        <v>198</v>
      </c>
      <c r="H10" s="43" t="s">
        <v>199</v>
      </c>
      <c r="I10" s="43" t="s">
        <v>200</v>
      </c>
      <c r="J10" s="44" t="s">
        <v>201</v>
      </c>
      <c r="K10" s="43" t="s">
        <v>202</v>
      </c>
      <c r="M10" s="45" t="s">
        <v>78</v>
      </c>
      <c r="N10" s="45" t="s">
        <v>203</v>
      </c>
      <c r="O10" s="45" t="s">
        <v>204</v>
      </c>
      <c r="P10" s="45" t="s">
        <v>205</v>
      </c>
      <c r="Q10" s="45" t="s">
        <v>206</v>
      </c>
    </row>
    <row r="11" spans="1:34" ht="30" customHeight="1" x14ac:dyDescent="0.35">
      <c r="B11" s="5" t="s">
        <v>207</v>
      </c>
      <c r="C11" s="46" t="s">
        <v>0</v>
      </c>
      <c r="D11" s="4" t="s">
        <v>88</v>
      </c>
      <c r="E11" s="47"/>
      <c r="F11" s="48"/>
      <c r="G11" s="49"/>
      <c r="H11" s="50" t="str">
        <f t="shared" ref="H11:H32" si="0">IF(E11="L3 - Advanced",3,IF(E11="L2 - Proficient",2,IF(E11="L1 - Developing",1,"")))</f>
        <v/>
      </c>
      <c r="I11" s="50" t="str">
        <f t="shared" ref="I11:I32" si="1">IF(F11="L3 - Advanced",3,IF(F11="L2 - Proficient",2,IF(F11="L1 - Developing",1,"")))</f>
        <v/>
      </c>
      <c r="J11" s="50" t="str">
        <f t="shared" ref="J11:J32" si="2">IF(G11="L3 - Advanced",3,IF(G11="L2 - Proficient",2,IF(G11="L1 - Developing",1,"")))</f>
        <v/>
      </c>
      <c r="K11" s="51"/>
      <c r="M11" s="52" t="s">
        <v>208</v>
      </c>
      <c r="N11" s="52" t="str">
        <f t="shared" ref="N11:N32" si="3">H11</f>
        <v/>
      </c>
      <c r="O11" s="52" t="str">
        <f t="shared" ref="O11:O32" si="4">I11</f>
        <v/>
      </c>
      <c r="P11" s="52" t="str">
        <f t="shared" ref="P11:P32" si="5">J11</f>
        <v/>
      </c>
      <c r="Q11" s="52">
        <v>2</v>
      </c>
    </row>
    <row r="12" spans="1:34" ht="30" customHeight="1" x14ac:dyDescent="0.35">
      <c r="B12" s="53" t="s">
        <v>209</v>
      </c>
      <c r="C12" s="54" t="s">
        <v>93</v>
      </c>
      <c r="D12" s="55" t="s">
        <v>94</v>
      </c>
      <c r="E12" s="47"/>
      <c r="F12" s="48"/>
      <c r="G12" s="49"/>
      <c r="H12" s="50" t="str">
        <f t="shared" si="0"/>
        <v/>
      </c>
      <c r="I12" s="50" t="str">
        <f t="shared" si="1"/>
        <v/>
      </c>
      <c r="J12" s="50" t="str">
        <f t="shared" si="2"/>
        <v/>
      </c>
      <c r="K12" s="51"/>
      <c r="M12" s="52" t="s">
        <v>210</v>
      </c>
      <c r="N12" s="52" t="str">
        <f t="shared" si="3"/>
        <v/>
      </c>
      <c r="O12" s="52" t="str">
        <f t="shared" si="4"/>
        <v/>
      </c>
      <c r="P12" s="52" t="str">
        <f t="shared" si="5"/>
        <v/>
      </c>
      <c r="Q12" s="52">
        <v>2</v>
      </c>
    </row>
    <row r="13" spans="1:34" ht="30" customHeight="1" x14ac:dyDescent="0.35">
      <c r="B13" s="12" t="s">
        <v>211</v>
      </c>
      <c r="C13" s="56" t="s">
        <v>0</v>
      </c>
      <c r="D13" s="57" t="s">
        <v>94</v>
      </c>
      <c r="E13" s="47"/>
      <c r="F13" s="48"/>
      <c r="G13" s="49"/>
      <c r="H13" s="50" t="str">
        <f t="shared" si="0"/>
        <v/>
      </c>
      <c r="I13" s="50" t="str">
        <f t="shared" si="1"/>
        <v/>
      </c>
      <c r="J13" s="50" t="str">
        <f t="shared" si="2"/>
        <v/>
      </c>
      <c r="K13" s="51"/>
      <c r="M13" s="52" t="s">
        <v>212</v>
      </c>
      <c r="N13" s="52" t="str">
        <f t="shared" si="3"/>
        <v/>
      </c>
      <c r="O13" s="52" t="str">
        <f t="shared" si="4"/>
        <v/>
      </c>
      <c r="P13" s="52" t="str">
        <f t="shared" si="5"/>
        <v/>
      </c>
      <c r="Q13" s="52">
        <v>2</v>
      </c>
    </row>
    <row r="14" spans="1:34" ht="30" customHeight="1" x14ac:dyDescent="0.35">
      <c r="B14" s="58" t="s">
        <v>213</v>
      </c>
      <c r="C14" s="59" t="s">
        <v>0</v>
      </c>
      <c r="D14" s="60" t="s">
        <v>94</v>
      </c>
      <c r="E14" s="47"/>
      <c r="F14" s="48"/>
      <c r="G14" s="49"/>
      <c r="H14" s="50" t="str">
        <f t="shared" si="0"/>
        <v/>
      </c>
      <c r="I14" s="50" t="str">
        <f t="shared" si="1"/>
        <v/>
      </c>
      <c r="J14" s="50" t="str">
        <f t="shared" si="2"/>
        <v/>
      </c>
      <c r="K14" s="51"/>
      <c r="M14" s="52" t="s">
        <v>213</v>
      </c>
      <c r="N14" s="52" t="str">
        <f t="shared" si="3"/>
        <v/>
      </c>
      <c r="O14" s="52" t="str">
        <f t="shared" si="4"/>
        <v/>
      </c>
      <c r="P14" s="52" t="str">
        <f t="shared" si="5"/>
        <v/>
      </c>
      <c r="Q14" s="52">
        <v>2</v>
      </c>
    </row>
    <row r="15" spans="1:34" ht="30" customHeight="1" x14ac:dyDescent="0.35">
      <c r="B15" s="12" t="s">
        <v>214</v>
      </c>
      <c r="C15" s="61" t="s">
        <v>93</v>
      </c>
      <c r="D15" s="57" t="s">
        <v>94</v>
      </c>
      <c r="E15" s="47"/>
      <c r="F15" s="48"/>
      <c r="G15" s="49"/>
      <c r="H15" s="50" t="str">
        <f t="shared" si="0"/>
        <v/>
      </c>
      <c r="I15" s="50" t="str">
        <f t="shared" si="1"/>
        <v/>
      </c>
      <c r="J15" s="50" t="str">
        <f t="shared" si="2"/>
        <v/>
      </c>
      <c r="K15" s="51"/>
      <c r="M15" s="52" t="s">
        <v>215</v>
      </c>
      <c r="N15" s="52" t="str">
        <f t="shared" si="3"/>
        <v/>
      </c>
      <c r="O15" s="52" t="str">
        <f t="shared" si="4"/>
        <v/>
      </c>
      <c r="P15" s="52" t="str">
        <f t="shared" si="5"/>
        <v/>
      </c>
      <c r="Q15" s="52">
        <v>2</v>
      </c>
    </row>
    <row r="16" spans="1:34" ht="30" customHeight="1" x14ac:dyDescent="0.35">
      <c r="B16" s="62" t="s">
        <v>216</v>
      </c>
      <c r="C16" s="63" t="s">
        <v>0</v>
      </c>
      <c r="D16" s="64" t="s">
        <v>94</v>
      </c>
      <c r="E16" s="47"/>
      <c r="F16" s="48"/>
      <c r="G16" s="49"/>
      <c r="H16" s="50" t="str">
        <f t="shared" si="0"/>
        <v/>
      </c>
      <c r="I16" s="50" t="str">
        <f t="shared" si="1"/>
        <v/>
      </c>
      <c r="J16" s="50" t="str">
        <f t="shared" si="2"/>
        <v/>
      </c>
      <c r="K16" s="51"/>
      <c r="M16" s="52" t="s">
        <v>217</v>
      </c>
      <c r="N16" s="52" t="str">
        <f t="shared" si="3"/>
        <v/>
      </c>
      <c r="O16" s="52" t="str">
        <f t="shared" si="4"/>
        <v/>
      </c>
      <c r="P16" s="52" t="str">
        <f t="shared" si="5"/>
        <v/>
      </c>
      <c r="Q16" s="52">
        <v>2</v>
      </c>
    </row>
    <row r="17" spans="2:17" ht="30" customHeight="1" x14ac:dyDescent="0.35">
      <c r="B17" s="16" t="s">
        <v>218</v>
      </c>
      <c r="C17" s="65" t="s">
        <v>0</v>
      </c>
      <c r="D17" s="66" t="s">
        <v>94</v>
      </c>
      <c r="E17" s="47"/>
      <c r="F17" s="48"/>
      <c r="G17" s="49"/>
      <c r="H17" s="50" t="str">
        <f t="shared" si="0"/>
        <v/>
      </c>
      <c r="I17" s="50" t="str">
        <f t="shared" si="1"/>
        <v/>
      </c>
      <c r="J17" s="50" t="str">
        <f t="shared" si="2"/>
        <v/>
      </c>
      <c r="K17" s="51"/>
      <c r="M17" s="52" t="s">
        <v>219</v>
      </c>
      <c r="N17" s="52" t="str">
        <f t="shared" si="3"/>
        <v/>
      </c>
      <c r="O17" s="52" t="str">
        <f t="shared" si="4"/>
        <v/>
      </c>
      <c r="P17" s="52" t="str">
        <f t="shared" si="5"/>
        <v/>
      </c>
      <c r="Q17" s="52">
        <v>2</v>
      </c>
    </row>
    <row r="18" spans="2:17" ht="30" customHeight="1" x14ac:dyDescent="0.35">
      <c r="B18" s="62" t="s">
        <v>220</v>
      </c>
      <c r="C18" s="63" t="s">
        <v>0</v>
      </c>
      <c r="D18" s="64" t="s">
        <v>94</v>
      </c>
      <c r="E18" s="47"/>
      <c r="F18" s="48"/>
      <c r="G18" s="49"/>
      <c r="H18" s="50" t="str">
        <f t="shared" si="0"/>
        <v/>
      </c>
      <c r="I18" s="50" t="str">
        <f t="shared" si="1"/>
        <v/>
      </c>
      <c r="J18" s="50" t="str">
        <f t="shared" si="2"/>
        <v/>
      </c>
      <c r="K18" s="51"/>
      <c r="M18" s="52" t="s">
        <v>221</v>
      </c>
      <c r="N18" s="52" t="str">
        <f t="shared" si="3"/>
        <v/>
      </c>
      <c r="O18" s="52" t="str">
        <f t="shared" si="4"/>
        <v/>
      </c>
      <c r="P18" s="52" t="str">
        <f t="shared" si="5"/>
        <v/>
      </c>
      <c r="Q18" s="52">
        <v>2</v>
      </c>
    </row>
    <row r="19" spans="2:17" ht="30" customHeight="1" x14ac:dyDescent="0.35">
      <c r="B19" s="16" t="s">
        <v>124</v>
      </c>
      <c r="C19" s="67" t="s">
        <v>93</v>
      </c>
      <c r="D19" s="66" t="s">
        <v>94</v>
      </c>
      <c r="E19" s="47"/>
      <c r="F19" s="48"/>
      <c r="G19" s="49"/>
      <c r="H19" s="50" t="str">
        <f t="shared" si="0"/>
        <v/>
      </c>
      <c r="I19" s="50" t="str">
        <f t="shared" si="1"/>
        <v/>
      </c>
      <c r="J19" s="50" t="str">
        <f t="shared" si="2"/>
        <v/>
      </c>
      <c r="K19" s="51"/>
      <c r="M19" s="52" t="s">
        <v>222</v>
      </c>
      <c r="N19" s="52" t="str">
        <f t="shared" si="3"/>
        <v/>
      </c>
      <c r="O19" s="52" t="str">
        <f t="shared" si="4"/>
        <v/>
      </c>
      <c r="P19" s="52" t="str">
        <f t="shared" si="5"/>
        <v/>
      </c>
      <c r="Q19" s="52">
        <v>2</v>
      </c>
    </row>
    <row r="20" spans="2:17" ht="30" customHeight="1" x14ac:dyDescent="0.35">
      <c r="B20" s="62" t="s">
        <v>223</v>
      </c>
      <c r="C20" s="68" t="s">
        <v>93</v>
      </c>
      <c r="D20" s="64" t="s">
        <v>94</v>
      </c>
      <c r="E20" s="47"/>
      <c r="F20" s="48"/>
      <c r="G20" s="49"/>
      <c r="H20" s="50" t="str">
        <f t="shared" si="0"/>
        <v/>
      </c>
      <c r="I20" s="50" t="str">
        <f t="shared" si="1"/>
        <v/>
      </c>
      <c r="J20" s="50" t="str">
        <f t="shared" si="2"/>
        <v/>
      </c>
      <c r="K20" s="51"/>
      <c r="M20" s="52" t="s">
        <v>224</v>
      </c>
      <c r="N20" s="52" t="str">
        <f t="shared" si="3"/>
        <v/>
      </c>
      <c r="O20" s="52" t="str">
        <f t="shared" si="4"/>
        <v/>
      </c>
      <c r="P20" s="52" t="str">
        <f t="shared" si="5"/>
        <v/>
      </c>
      <c r="Q20" s="52">
        <v>2</v>
      </c>
    </row>
    <row r="21" spans="2:17" ht="30" customHeight="1" x14ac:dyDescent="0.35">
      <c r="B21" s="16" t="s">
        <v>225</v>
      </c>
      <c r="C21" s="67" t="s">
        <v>93</v>
      </c>
      <c r="D21" s="66" t="s">
        <v>94</v>
      </c>
      <c r="E21" s="47"/>
      <c r="F21" s="48"/>
      <c r="G21" s="49"/>
      <c r="H21" s="50" t="str">
        <f t="shared" si="0"/>
        <v/>
      </c>
      <c r="I21" s="50" t="str">
        <f t="shared" si="1"/>
        <v/>
      </c>
      <c r="J21" s="50" t="str">
        <f t="shared" si="2"/>
        <v/>
      </c>
      <c r="K21" s="51"/>
      <c r="M21" s="52" t="s">
        <v>226</v>
      </c>
      <c r="N21" s="52" t="str">
        <f t="shared" si="3"/>
        <v/>
      </c>
      <c r="O21" s="52" t="str">
        <f t="shared" si="4"/>
        <v/>
      </c>
      <c r="P21" s="52" t="str">
        <f t="shared" si="5"/>
        <v/>
      </c>
      <c r="Q21" s="52">
        <v>2</v>
      </c>
    </row>
    <row r="22" spans="2:17" ht="30" customHeight="1" x14ac:dyDescent="0.35">
      <c r="B22" s="69" t="s">
        <v>227</v>
      </c>
      <c r="C22" s="70" t="s">
        <v>0</v>
      </c>
      <c r="D22" s="71" t="s">
        <v>94</v>
      </c>
      <c r="E22" s="47"/>
      <c r="F22" s="48"/>
      <c r="G22" s="49"/>
      <c r="H22" s="50" t="str">
        <f t="shared" si="0"/>
        <v/>
      </c>
      <c r="I22" s="50" t="str">
        <f t="shared" si="1"/>
        <v/>
      </c>
      <c r="J22" s="50" t="str">
        <f t="shared" si="2"/>
        <v/>
      </c>
      <c r="K22" s="51"/>
      <c r="M22" s="52" t="s">
        <v>228</v>
      </c>
      <c r="N22" s="52" t="str">
        <f t="shared" si="3"/>
        <v/>
      </c>
      <c r="O22" s="52" t="str">
        <f t="shared" si="4"/>
        <v/>
      </c>
      <c r="P22" s="52" t="str">
        <f t="shared" si="5"/>
        <v/>
      </c>
      <c r="Q22" s="52">
        <v>2</v>
      </c>
    </row>
    <row r="23" spans="2:17" ht="30" customHeight="1" x14ac:dyDescent="0.35">
      <c r="B23" s="20" t="s">
        <v>229</v>
      </c>
      <c r="C23" s="72" t="s">
        <v>0</v>
      </c>
      <c r="D23" s="73" t="s">
        <v>94</v>
      </c>
      <c r="E23" s="47"/>
      <c r="F23" s="48"/>
      <c r="G23" s="49"/>
      <c r="H23" s="50" t="str">
        <f t="shared" si="0"/>
        <v/>
      </c>
      <c r="I23" s="50" t="str">
        <f t="shared" si="1"/>
        <v/>
      </c>
      <c r="J23" s="50" t="str">
        <f t="shared" si="2"/>
        <v/>
      </c>
      <c r="K23" s="51"/>
      <c r="M23" s="52" t="s">
        <v>230</v>
      </c>
      <c r="N23" s="52" t="str">
        <f t="shared" si="3"/>
        <v/>
      </c>
      <c r="O23" s="52" t="str">
        <f t="shared" si="4"/>
        <v/>
      </c>
      <c r="P23" s="52" t="str">
        <f t="shared" si="5"/>
        <v/>
      </c>
      <c r="Q23" s="52">
        <v>2</v>
      </c>
    </row>
    <row r="24" spans="2:17" ht="30" customHeight="1" x14ac:dyDescent="0.35">
      <c r="B24" s="69" t="s">
        <v>231</v>
      </c>
      <c r="C24" s="74" t="s">
        <v>93</v>
      </c>
      <c r="D24" s="71" t="s">
        <v>94</v>
      </c>
      <c r="E24" s="47"/>
      <c r="F24" s="48"/>
      <c r="G24" s="49"/>
      <c r="H24" s="50" t="str">
        <f t="shared" si="0"/>
        <v/>
      </c>
      <c r="I24" s="50" t="str">
        <f t="shared" si="1"/>
        <v/>
      </c>
      <c r="J24" s="50" t="str">
        <f t="shared" si="2"/>
        <v/>
      </c>
      <c r="K24" s="51"/>
      <c r="M24" s="52" t="s">
        <v>232</v>
      </c>
      <c r="N24" s="52" t="str">
        <f t="shared" si="3"/>
        <v/>
      </c>
      <c r="O24" s="52" t="str">
        <f t="shared" si="4"/>
        <v/>
      </c>
      <c r="P24" s="52" t="str">
        <f t="shared" si="5"/>
        <v/>
      </c>
      <c r="Q24" s="52">
        <v>2</v>
      </c>
    </row>
    <row r="25" spans="2:17" ht="30" customHeight="1" x14ac:dyDescent="0.35">
      <c r="B25" s="20" t="s">
        <v>233</v>
      </c>
      <c r="C25" s="75" t="s">
        <v>93</v>
      </c>
      <c r="D25" s="73" t="s">
        <v>94</v>
      </c>
      <c r="E25" s="47"/>
      <c r="F25" s="48"/>
      <c r="G25" s="49"/>
      <c r="H25" s="50" t="str">
        <f t="shared" si="0"/>
        <v/>
      </c>
      <c r="I25" s="50" t="str">
        <f t="shared" si="1"/>
        <v/>
      </c>
      <c r="J25" s="50" t="str">
        <f t="shared" si="2"/>
        <v/>
      </c>
      <c r="K25" s="51"/>
      <c r="M25" s="52" t="s">
        <v>234</v>
      </c>
      <c r="N25" s="52" t="str">
        <f t="shared" si="3"/>
        <v/>
      </c>
      <c r="O25" s="52" t="str">
        <f t="shared" si="4"/>
        <v/>
      </c>
      <c r="P25" s="52" t="str">
        <f t="shared" si="5"/>
        <v/>
      </c>
      <c r="Q25" s="52">
        <v>2</v>
      </c>
    </row>
    <row r="26" spans="2:17" ht="30" customHeight="1" x14ac:dyDescent="0.35">
      <c r="B26" s="76" t="s">
        <v>235</v>
      </c>
      <c r="C26" s="77" t="s">
        <v>155</v>
      </c>
      <c r="D26" s="78" t="s">
        <v>88</v>
      </c>
      <c r="E26" s="47"/>
      <c r="F26" s="48"/>
      <c r="G26" s="49"/>
      <c r="H26" s="50" t="str">
        <f t="shared" si="0"/>
        <v/>
      </c>
      <c r="I26" s="50" t="str">
        <f t="shared" si="1"/>
        <v/>
      </c>
      <c r="J26" s="50" t="str">
        <f t="shared" si="2"/>
        <v/>
      </c>
      <c r="K26" s="51"/>
      <c r="M26" s="52" t="s">
        <v>236</v>
      </c>
      <c r="N26" s="52" t="str">
        <f t="shared" si="3"/>
        <v/>
      </c>
      <c r="O26" s="52" t="str">
        <f t="shared" si="4"/>
        <v/>
      </c>
      <c r="P26" s="52" t="str">
        <f t="shared" si="5"/>
        <v/>
      </c>
      <c r="Q26" s="52">
        <v>2</v>
      </c>
    </row>
    <row r="27" spans="2:17" ht="30" customHeight="1" x14ac:dyDescent="0.35">
      <c r="B27" s="24" t="s">
        <v>237</v>
      </c>
      <c r="C27" s="79" t="s">
        <v>155</v>
      </c>
      <c r="D27" s="80" t="s">
        <v>94</v>
      </c>
      <c r="E27" s="47"/>
      <c r="F27" s="48"/>
      <c r="G27" s="49"/>
      <c r="H27" s="50" t="str">
        <f t="shared" si="0"/>
        <v/>
      </c>
      <c r="I27" s="50" t="str">
        <f t="shared" si="1"/>
        <v/>
      </c>
      <c r="J27" s="50" t="str">
        <f t="shared" si="2"/>
        <v/>
      </c>
      <c r="K27" s="51"/>
      <c r="M27" s="52" t="s">
        <v>238</v>
      </c>
      <c r="N27" s="52" t="str">
        <f t="shared" si="3"/>
        <v/>
      </c>
      <c r="O27" s="52" t="str">
        <f t="shared" si="4"/>
        <v/>
      </c>
      <c r="P27" s="52" t="str">
        <f t="shared" si="5"/>
        <v/>
      </c>
      <c r="Q27" s="52">
        <v>2</v>
      </c>
    </row>
    <row r="28" spans="2:17" ht="30" customHeight="1" x14ac:dyDescent="0.35">
      <c r="B28" s="76" t="s">
        <v>239</v>
      </c>
      <c r="C28" s="77" t="s">
        <v>155</v>
      </c>
      <c r="D28" s="81" t="s">
        <v>94</v>
      </c>
      <c r="E28" s="47"/>
      <c r="F28" s="48"/>
      <c r="G28" s="49"/>
      <c r="H28" s="50" t="str">
        <f t="shared" si="0"/>
        <v/>
      </c>
      <c r="I28" s="50" t="str">
        <f t="shared" si="1"/>
        <v/>
      </c>
      <c r="J28" s="50" t="str">
        <f t="shared" si="2"/>
        <v/>
      </c>
      <c r="K28" s="51"/>
      <c r="M28" s="52" t="s">
        <v>240</v>
      </c>
      <c r="N28" s="52" t="str">
        <f t="shared" si="3"/>
        <v/>
      </c>
      <c r="O28" s="52" t="str">
        <f t="shared" si="4"/>
        <v/>
      </c>
      <c r="P28" s="52" t="str">
        <f t="shared" si="5"/>
        <v/>
      </c>
      <c r="Q28" s="52">
        <v>2</v>
      </c>
    </row>
    <row r="29" spans="2:17" ht="30" customHeight="1" x14ac:dyDescent="0.35">
      <c r="B29" s="24" t="s">
        <v>241</v>
      </c>
      <c r="C29" s="79" t="s">
        <v>155</v>
      </c>
      <c r="D29" s="80" t="s">
        <v>94</v>
      </c>
      <c r="E29" s="47"/>
      <c r="F29" s="48"/>
      <c r="G29" s="49"/>
      <c r="H29" s="50" t="str">
        <f t="shared" si="0"/>
        <v/>
      </c>
      <c r="I29" s="50" t="str">
        <f t="shared" si="1"/>
        <v/>
      </c>
      <c r="J29" s="50" t="str">
        <f t="shared" si="2"/>
        <v/>
      </c>
      <c r="K29" s="51"/>
      <c r="M29" s="52" t="s">
        <v>242</v>
      </c>
      <c r="N29" s="52" t="str">
        <f t="shared" si="3"/>
        <v/>
      </c>
      <c r="O29" s="52" t="str">
        <f t="shared" si="4"/>
        <v/>
      </c>
      <c r="P29" s="52" t="str">
        <f t="shared" si="5"/>
        <v/>
      </c>
      <c r="Q29" s="52">
        <v>2</v>
      </c>
    </row>
    <row r="30" spans="2:17" ht="30" customHeight="1" x14ac:dyDescent="0.35">
      <c r="B30" s="82" t="s">
        <v>243</v>
      </c>
      <c r="C30" s="83" t="s">
        <v>174</v>
      </c>
      <c r="D30" s="84" t="s">
        <v>88</v>
      </c>
      <c r="E30" s="47"/>
      <c r="F30" s="48"/>
      <c r="G30" s="49"/>
      <c r="H30" s="50" t="str">
        <f t="shared" si="0"/>
        <v/>
      </c>
      <c r="I30" s="50" t="str">
        <f t="shared" si="1"/>
        <v/>
      </c>
      <c r="J30" s="50" t="str">
        <f t="shared" si="2"/>
        <v/>
      </c>
      <c r="K30" s="51"/>
      <c r="M30" s="52" t="s">
        <v>244</v>
      </c>
      <c r="N30" s="52" t="str">
        <f t="shared" si="3"/>
        <v/>
      </c>
      <c r="O30" s="52" t="str">
        <f t="shared" si="4"/>
        <v/>
      </c>
      <c r="P30" s="52" t="str">
        <f t="shared" si="5"/>
        <v/>
      </c>
      <c r="Q30" s="52">
        <v>2</v>
      </c>
    </row>
    <row r="31" spans="2:17" ht="30" customHeight="1" x14ac:dyDescent="0.35">
      <c r="B31" s="28" t="s">
        <v>245</v>
      </c>
      <c r="C31" s="85" t="s">
        <v>174</v>
      </c>
      <c r="D31" s="86" t="s">
        <v>94</v>
      </c>
      <c r="E31" s="47"/>
      <c r="F31" s="48"/>
      <c r="G31" s="49"/>
      <c r="H31" s="50" t="str">
        <f t="shared" si="0"/>
        <v/>
      </c>
      <c r="I31" s="50" t="str">
        <f t="shared" si="1"/>
        <v/>
      </c>
      <c r="J31" s="50" t="str">
        <f t="shared" si="2"/>
        <v/>
      </c>
      <c r="K31" s="51"/>
      <c r="M31" s="52" t="s">
        <v>246</v>
      </c>
      <c r="N31" s="52" t="str">
        <f t="shared" si="3"/>
        <v/>
      </c>
      <c r="O31" s="52" t="str">
        <f t="shared" si="4"/>
        <v/>
      </c>
      <c r="P31" s="52" t="str">
        <f t="shared" si="5"/>
        <v/>
      </c>
      <c r="Q31" s="52">
        <v>2</v>
      </c>
    </row>
    <row r="32" spans="2:17" ht="30" customHeight="1" x14ac:dyDescent="0.35">
      <c r="B32" s="82" t="s">
        <v>247</v>
      </c>
      <c r="C32" s="83" t="s">
        <v>174</v>
      </c>
      <c r="D32" s="87" t="s">
        <v>94</v>
      </c>
      <c r="E32" s="47"/>
      <c r="F32" s="48"/>
      <c r="G32" s="49"/>
      <c r="H32" s="50" t="str">
        <f t="shared" si="0"/>
        <v/>
      </c>
      <c r="I32" s="50" t="str">
        <f t="shared" si="1"/>
        <v/>
      </c>
      <c r="J32" s="50" t="str">
        <f t="shared" si="2"/>
        <v/>
      </c>
      <c r="K32" s="51"/>
      <c r="M32" s="52" t="s">
        <v>248</v>
      </c>
      <c r="N32" s="52" t="str">
        <f t="shared" si="3"/>
        <v/>
      </c>
      <c r="O32" s="52" t="str">
        <f t="shared" si="4"/>
        <v/>
      </c>
      <c r="P32" s="52" t="str">
        <f t="shared" si="5"/>
        <v/>
      </c>
      <c r="Q32" s="52">
        <v>2</v>
      </c>
    </row>
    <row r="33" spans="2:10" ht="27.75" customHeight="1" x14ac:dyDescent="0.35">
      <c r="B33" s="163" t="s">
        <v>249</v>
      </c>
      <c r="C33" s="163"/>
      <c r="D33" s="163"/>
      <c r="E33" s="88" t="str">
        <f>IFERROR(AVERAGE(H11:H32),"")</f>
        <v/>
      </c>
      <c r="F33" s="89" t="str">
        <f>IFERROR(AVERAGE(I11:I32),"")</f>
        <v/>
      </c>
      <c r="G33" s="90" t="str">
        <f>IFERROR(AVERAGE(J11:J32),"")</f>
        <v/>
      </c>
      <c r="H33" s="164" t="str">
        <f>IFERROR(AVERAGE(H11:J32),"")</f>
        <v/>
      </c>
      <c r="I33" s="164"/>
      <c r="J33" s="164"/>
    </row>
  </sheetData>
  <mergeCells count="6">
    <mergeCell ref="B2:C4"/>
    <mergeCell ref="D2:Z2"/>
    <mergeCell ref="D3:Z4"/>
    <mergeCell ref="B5:Z5"/>
    <mergeCell ref="B33:D33"/>
    <mergeCell ref="H33:J33"/>
  </mergeCells>
  <conditionalFormatting sqref="E11:G32">
    <cfRule type="cellIs" dxfId="20" priority="2" operator="equal">
      <formula>"L1 - Developing"</formula>
    </cfRule>
    <cfRule type="cellIs" dxfId="19" priority="3" operator="equal">
      <formula>"L2 - Proficient"</formula>
    </cfRule>
    <cfRule type="cellIs" dxfId="18" priority="4" operator="equal">
      <formula>"L3 - Advanced"</formula>
    </cfRule>
  </conditionalFormatting>
  <conditionalFormatting sqref="H11:J32">
    <cfRule type="cellIs" dxfId="17" priority="5" operator="equal">
      <formula>1</formula>
    </cfRule>
    <cfRule type="cellIs" dxfId="16" priority="6" operator="equal">
      <formula>2</formula>
    </cfRule>
    <cfRule type="cellIs" dxfId="15" priority="7" operator="equal">
      <formula>3</formula>
    </cfRule>
  </conditionalFormatting>
  <dataValidations count="1">
    <dataValidation type="list" showErrorMessage="1" errorTitle="Invalid" error="Choose L1, L2, or L3" sqref="E11:G32" xr:uid="{00000000-0002-0000-1A00-000000000000}">
      <formula1>"L1 - Developing,L2 - Proficient,L3 - 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A9A5"/>
  </sheetPr>
  <dimension ref="A1:AH37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P8" sqref="P8"/>
    </sheetView>
  </sheetViews>
  <sheetFormatPr defaultColWidth="8.54296875" defaultRowHeight="14.5" x14ac:dyDescent="0.35"/>
  <cols>
    <col min="1" max="1" width="1.54296875" customWidth="1"/>
    <col min="2" max="3" width="18" customWidth="1"/>
    <col min="4" max="5" width="8" customWidth="1"/>
    <col min="6" max="8" width="6" customWidth="1"/>
    <col min="9" max="9" width="10.54296875" customWidth="1"/>
    <col min="10" max="10" width="11.26953125" customWidth="1"/>
    <col min="11" max="11" width="6" customWidth="1"/>
    <col min="12" max="12" width="8.54296875" customWidth="1"/>
    <col min="13" max="13" width="9.81640625" customWidth="1"/>
    <col min="14" max="14" width="10.453125" customWidth="1"/>
    <col min="15" max="15" width="6" customWidth="1"/>
    <col min="16" max="16" width="10.1796875" customWidth="1"/>
    <col min="17" max="27" width="6" customWidth="1"/>
    <col min="28" max="30" width="8" customWidth="1"/>
    <col min="31" max="31" width="1.54296875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295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296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49.5" customHeight="1" x14ac:dyDescent="0.35">
      <c r="B7" s="3" t="s">
        <v>297</v>
      </c>
      <c r="C7" s="3" t="s">
        <v>298</v>
      </c>
      <c r="D7" s="3" t="s">
        <v>18</v>
      </c>
      <c r="E7" s="3" t="s">
        <v>19</v>
      </c>
      <c r="F7" s="94" t="s">
        <v>208</v>
      </c>
      <c r="G7" s="94" t="s">
        <v>210</v>
      </c>
      <c r="H7" s="95" t="s">
        <v>212</v>
      </c>
      <c r="I7" s="95" t="s">
        <v>213</v>
      </c>
      <c r="J7" s="95" t="s">
        <v>215</v>
      </c>
      <c r="K7" s="96" t="s">
        <v>217</v>
      </c>
      <c r="L7" s="96" t="s">
        <v>219</v>
      </c>
      <c r="M7" s="96" t="s">
        <v>221</v>
      </c>
      <c r="N7" s="96" t="s">
        <v>222</v>
      </c>
      <c r="O7" s="96" t="s">
        <v>224</v>
      </c>
      <c r="P7" s="96" t="s">
        <v>226</v>
      </c>
      <c r="Q7" s="97" t="s">
        <v>228</v>
      </c>
      <c r="R7" s="97" t="s">
        <v>230</v>
      </c>
      <c r="S7" s="97" t="s">
        <v>232</v>
      </c>
      <c r="T7" s="97" t="s">
        <v>234</v>
      </c>
      <c r="U7" s="98" t="s">
        <v>236</v>
      </c>
      <c r="V7" s="98" t="s">
        <v>238</v>
      </c>
      <c r="W7" s="98" t="s">
        <v>240</v>
      </c>
      <c r="X7" s="98" t="s">
        <v>242</v>
      </c>
      <c r="Y7" s="99" t="s">
        <v>244</v>
      </c>
      <c r="Z7" s="99" t="s">
        <v>246</v>
      </c>
      <c r="AA7" s="99" t="s">
        <v>248</v>
      </c>
      <c r="AB7" s="100" t="s">
        <v>299</v>
      </c>
      <c r="AC7" s="101" t="s">
        <v>300</v>
      </c>
      <c r="AD7" s="43" t="s">
        <v>301</v>
      </c>
    </row>
    <row r="8" spans="1:34" ht="19.5" customHeight="1" x14ac:dyDescent="0.35">
      <c r="B8" s="102" t="s">
        <v>20</v>
      </c>
      <c r="C8" s="102" t="s">
        <v>21</v>
      </c>
      <c r="D8" s="103" t="s">
        <v>22</v>
      </c>
      <c r="E8" s="41" t="s">
        <v>23</v>
      </c>
      <c r="F8" s="104" t="str">
        <f>IFERROR('Employee 1'!J11,"")</f>
        <v/>
      </c>
      <c r="G8" s="104" t="str">
        <f>IFERROR('Employee 1'!J12,"")</f>
        <v/>
      </c>
      <c r="H8" s="104" t="str">
        <f>IFERROR('Employee 1'!J13,"")</f>
        <v/>
      </c>
      <c r="I8" s="104" t="str">
        <f>IFERROR('Employee 1'!J14,"")</f>
        <v/>
      </c>
      <c r="J8" s="104" t="str">
        <f>IFERROR('Employee 1'!J15,"")</f>
        <v/>
      </c>
      <c r="K8" s="104" t="str">
        <f>IFERROR('Employee 1'!J16,"")</f>
        <v/>
      </c>
      <c r="L8" s="104" t="str">
        <f>IFERROR('Employee 1'!J17,"")</f>
        <v/>
      </c>
      <c r="M8" s="104" t="str">
        <f>IFERROR('Employee 1'!J18,"")</f>
        <v/>
      </c>
      <c r="N8" s="104" t="str">
        <f>IFERROR('Employee 1'!J19,"")</f>
        <v/>
      </c>
      <c r="O8" s="104" t="str">
        <f>IFERROR('Employee 1'!J20,"")</f>
        <v/>
      </c>
      <c r="P8" s="104" t="str">
        <f>IFERROR('Employee 1'!J21,"")</f>
        <v/>
      </c>
      <c r="Q8" s="104" t="str">
        <f>IFERROR('Employee 1'!J22,"")</f>
        <v/>
      </c>
      <c r="R8" s="104" t="str">
        <f>IFERROR('Employee 1'!J23,"")</f>
        <v/>
      </c>
      <c r="S8" s="104" t="str">
        <f>IFERROR('Employee 1'!J24,"")</f>
        <v/>
      </c>
      <c r="T8" s="104" t="str">
        <f>IFERROR('Employee 1'!J25,"")</f>
        <v/>
      </c>
      <c r="U8" s="104" t="str">
        <f>IFERROR('Employee 1'!J26,"")</f>
        <v/>
      </c>
      <c r="V8" s="104" t="str">
        <f>IFERROR('Employee 1'!J27,"")</f>
        <v/>
      </c>
      <c r="W8" s="104" t="str">
        <f>IFERROR('Employee 1'!J28,"")</f>
        <v/>
      </c>
      <c r="X8" s="104" t="str">
        <f>IFERROR('Employee 1'!J29,"")</f>
        <v/>
      </c>
      <c r="Y8" s="104" t="str">
        <f>IFERROR('Employee 1'!J30,"")</f>
        <v/>
      </c>
      <c r="Z8" s="104" t="str">
        <f>IFERROR('Employee 1'!J31,"")</f>
        <v/>
      </c>
      <c r="AA8" s="104" t="str">
        <f>IFERROR('Employee 1'!J32,"")</f>
        <v/>
      </c>
      <c r="AB8" s="105" t="str">
        <f>IFERROR('Employee 1'!H33,"")</f>
        <v/>
      </c>
      <c r="AC8" s="106">
        <f>IFERROR('Employee 1'!I33,"")</f>
        <v>0</v>
      </c>
      <c r="AD8" s="107">
        <f>IFERROR('Employee 1'!J33,"")</f>
        <v>0</v>
      </c>
    </row>
    <row r="9" spans="1:34" ht="19.5" customHeight="1" x14ac:dyDescent="0.35">
      <c r="B9" s="108" t="s">
        <v>24</v>
      </c>
      <c r="C9" s="108" t="s">
        <v>25</v>
      </c>
      <c r="D9" s="103" t="s">
        <v>22</v>
      </c>
      <c r="E9" s="41" t="s">
        <v>26</v>
      </c>
      <c r="F9" s="50" t="str">
        <f>IFERROR('Mohamed MARZOUK'!J11,"")</f>
        <v/>
      </c>
      <c r="G9" s="50" t="str">
        <f>IFERROR('Mohamed MARZOUK'!J12,"")</f>
        <v/>
      </c>
      <c r="H9" s="50" t="str">
        <f>IFERROR('Mohamed MARZOUK'!J13,"")</f>
        <v/>
      </c>
      <c r="I9" s="50" t="str">
        <f>IFERROR('Mohamed MARZOUK'!J14,"")</f>
        <v/>
      </c>
      <c r="J9" s="50" t="str">
        <f>IFERROR('Mohamed MARZOUK'!J15,"")</f>
        <v/>
      </c>
      <c r="K9" s="50" t="str">
        <f>IFERROR('Mohamed MARZOUK'!J16,"")</f>
        <v/>
      </c>
      <c r="L9" s="50" t="str">
        <f>IFERROR('Mohamed MARZOUK'!J17,"")</f>
        <v/>
      </c>
      <c r="M9" s="50" t="str">
        <f>IFERROR('Mohamed MARZOUK'!J18,"")</f>
        <v/>
      </c>
      <c r="N9" s="50" t="str">
        <f>IFERROR('Mohamed MARZOUK'!J19,"")</f>
        <v/>
      </c>
      <c r="O9" s="50" t="str">
        <f>IFERROR('Mohamed MARZOUK'!J20,"")</f>
        <v/>
      </c>
      <c r="P9" s="50" t="str">
        <f>IFERROR('Mohamed MARZOUK'!J21,"")</f>
        <v/>
      </c>
      <c r="Q9" s="50" t="str">
        <f>IFERROR('Mohamed MARZOUK'!J22,"")</f>
        <v/>
      </c>
      <c r="R9" s="50" t="str">
        <f>IFERROR('Mohamed MARZOUK'!J23,"")</f>
        <v/>
      </c>
      <c r="S9" s="50" t="str">
        <f>IFERROR('Mohamed MARZOUK'!J24,"")</f>
        <v/>
      </c>
      <c r="T9" s="50" t="str">
        <f>IFERROR('Mohamed MARZOUK'!J25,"")</f>
        <v/>
      </c>
      <c r="U9" s="50" t="str">
        <f>IFERROR('Mohamed MARZOUK'!J26,"")</f>
        <v/>
      </c>
      <c r="V9" s="50" t="str">
        <f>IFERROR('Mohamed MARZOUK'!J27,"")</f>
        <v/>
      </c>
      <c r="W9" s="50" t="str">
        <f>IFERROR('Mohamed MARZOUK'!J28,"")</f>
        <v/>
      </c>
      <c r="X9" s="50" t="str">
        <f>IFERROR('Mohamed MARZOUK'!J29,"")</f>
        <v/>
      </c>
      <c r="Y9" s="50" t="str">
        <f>IFERROR('Mohamed MARZOUK'!J30,"")</f>
        <v/>
      </c>
      <c r="Z9" s="50" t="str">
        <f>IFERROR('Mohamed MARZOUK'!J31,"")</f>
        <v/>
      </c>
      <c r="AA9" s="50" t="str">
        <f>IFERROR('Mohamed MARZOUK'!J32,"")</f>
        <v/>
      </c>
      <c r="AB9" s="105" t="str">
        <f>IFERROR('Mohamed MARZOUK'!H33,"")</f>
        <v/>
      </c>
      <c r="AC9" s="106">
        <f>IFERROR('Mohamed MARZOUK'!I33,"")</f>
        <v>0</v>
      </c>
      <c r="AD9" s="107">
        <f>IFERROR('Mohamed MARZOUK'!J33,"")</f>
        <v>0</v>
      </c>
    </row>
    <row r="10" spans="1:34" ht="19.5" customHeight="1" x14ac:dyDescent="0.35">
      <c r="B10" s="102" t="s">
        <v>27</v>
      </c>
      <c r="C10" s="102" t="s">
        <v>28</v>
      </c>
      <c r="D10" s="103" t="s">
        <v>22</v>
      </c>
      <c r="E10" s="41" t="s">
        <v>23</v>
      </c>
      <c r="F10" s="104" t="str">
        <f>IFERROR('Basim El-Subihy'!J11,"")</f>
        <v/>
      </c>
      <c r="G10" s="104" t="str">
        <f>IFERROR('Basim El-Subihy'!J12,"")</f>
        <v/>
      </c>
      <c r="H10" s="104" t="str">
        <f>IFERROR('Basim El-Subihy'!J13,"")</f>
        <v/>
      </c>
      <c r="I10" s="104" t="str">
        <f>IFERROR('Basim El-Subihy'!J14,"")</f>
        <v/>
      </c>
      <c r="J10" s="104" t="str">
        <f>IFERROR('Basim El-Subihy'!J15,"")</f>
        <v/>
      </c>
      <c r="K10" s="104" t="str">
        <f>IFERROR('Basim El-Subihy'!J16,"")</f>
        <v/>
      </c>
      <c r="L10" s="104" t="str">
        <f>IFERROR('Basim El-Subihy'!J17,"")</f>
        <v/>
      </c>
      <c r="M10" s="104" t="str">
        <f>IFERROR('Basim El-Subihy'!J18,"")</f>
        <v/>
      </c>
      <c r="N10" s="104" t="str">
        <f>IFERROR('Basim El-Subihy'!J19,"")</f>
        <v/>
      </c>
      <c r="O10" s="104" t="str">
        <f>IFERROR('Basim El-Subihy'!J20,"")</f>
        <v/>
      </c>
      <c r="P10" s="104" t="str">
        <f>IFERROR('Basim El-Subihy'!J21,"")</f>
        <v/>
      </c>
      <c r="Q10" s="104" t="str">
        <f>IFERROR('Basim El-Subihy'!J22,"")</f>
        <v/>
      </c>
      <c r="R10" s="104" t="str">
        <f>IFERROR('Basim El-Subihy'!J23,"")</f>
        <v/>
      </c>
      <c r="S10" s="104" t="str">
        <f>IFERROR('Basim El-Subihy'!J24,"")</f>
        <v/>
      </c>
      <c r="T10" s="104" t="str">
        <f>IFERROR('Basim El-Subihy'!J25,"")</f>
        <v/>
      </c>
      <c r="U10" s="104" t="str">
        <f>IFERROR('Basim El-Subihy'!J26,"")</f>
        <v/>
      </c>
      <c r="V10" s="104" t="str">
        <f>IFERROR('Basim El-Subihy'!J27,"")</f>
        <v/>
      </c>
      <c r="W10" s="104" t="str">
        <f>IFERROR('Basim El-Subihy'!J28,"")</f>
        <v/>
      </c>
      <c r="X10" s="104" t="str">
        <f>IFERROR('Basim El-Subihy'!J29,"")</f>
        <v/>
      </c>
      <c r="Y10" s="104" t="str">
        <f>IFERROR('Basim El-Subihy'!J30,"")</f>
        <v/>
      </c>
      <c r="Z10" s="104" t="str">
        <f>IFERROR('Basim El-Subihy'!J31,"")</f>
        <v/>
      </c>
      <c r="AA10" s="104" t="str">
        <f>IFERROR('Basim El-Subihy'!J32,"")</f>
        <v/>
      </c>
      <c r="AB10" s="105" t="str">
        <f>IFERROR('Basim El-Subihy'!H33,"")</f>
        <v/>
      </c>
      <c r="AC10" s="106">
        <f>IFERROR('Basim El-Subihy'!I33,"")</f>
        <v>0</v>
      </c>
      <c r="AD10" s="107">
        <f>IFERROR('Basim El-Subihy'!J33,"")</f>
        <v>0</v>
      </c>
    </row>
    <row r="11" spans="1:34" ht="19.5" customHeight="1" x14ac:dyDescent="0.35">
      <c r="B11" s="108" t="s">
        <v>29</v>
      </c>
      <c r="C11" s="108" t="s">
        <v>30</v>
      </c>
      <c r="D11" s="103" t="s">
        <v>22</v>
      </c>
      <c r="E11" s="41" t="s">
        <v>26</v>
      </c>
      <c r="F11" s="50" t="str">
        <f>IFERROR('Biju Mathew'!J11,"")</f>
        <v/>
      </c>
      <c r="G11" s="50" t="str">
        <f>IFERROR('Biju Mathew'!J12,"")</f>
        <v/>
      </c>
      <c r="H11" s="50" t="str">
        <f>IFERROR('Biju Mathew'!J13,"")</f>
        <v/>
      </c>
      <c r="I11" s="50" t="str">
        <f>IFERROR('Biju Mathew'!J14,"")</f>
        <v/>
      </c>
      <c r="J11" s="50" t="str">
        <f>IFERROR('Biju Mathew'!J15,"")</f>
        <v/>
      </c>
      <c r="K11" s="50" t="str">
        <f>IFERROR('Biju Mathew'!J16,"")</f>
        <v/>
      </c>
      <c r="L11" s="50" t="str">
        <f>IFERROR('Biju Mathew'!J17,"")</f>
        <v/>
      </c>
      <c r="M11" s="50" t="str">
        <f>IFERROR('Biju Mathew'!J18,"")</f>
        <v/>
      </c>
      <c r="N11" s="50" t="str">
        <f>IFERROR('Biju Mathew'!J19,"")</f>
        <v/>
      </c>
      <c r="O11" s="50" t="str">
        <f>IFERROR('Biju Mathew'!J20,"")</f>
        <v/>
      </c>
      <c r="P11" s="50" t="str">
        <f>IFERROR('Biju Mathew'!J21,"")</f>
        <v/>
      </c>
      <c r="Q11" s="50" t="str">
        <f>IFERROR('Biju Mathew'!J22,"")</f>
        <v/>
      </c>
      <c r="R11" s="50" t="str">
        <f>IFERROR('Biju Mathew'!J23,"")</f>
        <v/>
      </c>
      <c r="S11" s="50" t="str">
        <f>IFERROR('Biju Mathew'!J24,"")</f>
        <v/>
      </c>
      <c r="T11" s="50" t="str">
        <f>IFERROR('Biju Mathew'!J25,"")</f>
        <v/>
      </c>
      <c r="U11" s="50" t="str">
        <f>IFERROR('Biju Mathew'!J26,"")</f>
        <v/>
      </c>
      <c r="V11" s="50" t="str">
        <f>IFERROR('Biju Mathew'!J27,"")</f>
        <v/>
      </c>
      <c r="W11" s="50" t="str">
        <f>IFERROR('Biju Mathew'!J28,"")</f>
        <v/>
      </c>
      <c r="X11" s="50" t="str">
        <f>IFERROR('Biju Mathew'!J29,"")</f>
        <v/>
      </c>
      <c r="Y11" s="50" t="str">
        <f>IFERROR('Biju Mathew'!J30,"")</f>
        <v/>
      </c>
      <c r="Z11" s="50" t="str">
        <f>IFERROR('Biju Mathew'!J31,"")</f>
        <v/>
      </c>
      <c r="AA11" s="50" t="str">
        <f>IFERROR('Biju Mathew'!J32,"")</f>
        <v/>
      </c>
      <c r="AB11" s="105" t="str">
        <f>IFERROR('Biju Mathew'!H33,"")</f>
        <v/>
      </c>
      <c r="AC11" s="106">
        <f>IFERROR('Biju Mathew'!I33,"")</f>
        <v>0</v>
      </c>
      <c r="AD11" s="107">
        <f>IFERROR('Biju Mathew'!J33,"")</f>
        <v>0</v>
      </c>
    </row>
    <row r="12" spans="1:34" ht="19.5" customHeight="1" x14ac:dyDescent="0.35">
      <c r="B12" s="102" t="s">
        <v>31</v>
      </c>
      <c r="C12" s="102" t="s">
        <v>32</v>
      </c>
      <c r="D12" s="103" t="s">
        <v>22</v>
      </c>
      <c r="E12" s="41" t="s">
        <v>23</v>
      </c>
      <c r="F12" s="104" t="str">
        <f>IFERROR('Oseid Mohamemed Faqih'!J11,"")</f>
        <v/>
      </c>
      <c r="G12" s="104" t="str">
        <f>IFERROR('Oseid Mohamemed Faqih'!J12,"")</f>
        <v/>
      </c>
      <c r="H12" s="104" t="str">
        <f>IFERROR('Oseid Mohamemed Faqih'!J13,"")</f>
        <v/>
      </c>
      <c r="I12" s="104" t="str">
        <f>IFERROR('Oseid Mohamemed Faqih'!J14,"")</f>
        <v/>
      </c>
      <c r="J12" s="104" t="str">
        <f>IFERROR('Oseid Mohamemed Faqih'!J15,"")</f>
        <v/>
      </c>
      <c r="K12" s="104" t="str">
        <f>IFERROR('Oseid Mohamemed Faqih'!J16,"")</f>
        <v/>
      </c>
      <c r="L12" s="104" t="str">
        <f>IFERROR('Oseid Mohamemed Faqih'!J17,"")</f>
        <v/>
      </c>
      <c r="M12" s="104" t="str">
        <f>IFERROR('Oseid Mohamemed Faqih'!J18,"")</f>
        <v/>
      </c>
      <c r="N12" s="104" t="str">
        <f>IFERROR('Oseid Mohamemed Faqih'!J19,"")</f>
        <v/>
      </c>
      <c r="O12" s="104" t="str">
        <f>IFERROR('Oseid Mohamemed Faqih'!J20,"")</f>
        <v/>
      </c>
      <c r="P12" s="104" t="str">
        <f>IFERROR('Oseid Mohamemed Faqih'!J21,"")</f>
        <v/>
      </c>
      <c r="Q12" s="104" t="str">
        <f>IFERROR('Oseid Mohamemed Faqih'!J22,"")</f>
        <v/>
      </c>
      <c r="R12" s="104" t="str">
        <f>IFERROR('Oseid Mohamemed Faqih'!J23,"")</f>
        <v/>
      </c>
      <c r="S12" s="104" t="str">
        <f>IFERROR('Oseid Mohamemed Faqih'!J24,"")</f>
        <v/>
      </c>
      <c r="T12" s="104" t="str">
        <f>IFERROR('Oseid Mohamemed Faqih'!J25,"")</f>
        <v/>
      </c>
      <c r="U12" s="104" t="str">
        <f>IFERROR('Oseid Mohamemed Faqih'!J26,"")</f>
        <v/>
      </c>
      <c r="V12" s="104" t="str">
        <f>IFERROR('Oseid Mohamemed Faqih'!J27,"")</f>
        <v/>
      </c>
      <c r="W12" s="104" t="str">
        <f>IFERROR('Oseid Mohamemed Faqih'!J28,"")</f>
        <v/>
      </c>
      <c r="X12" s="104" t="str">
        <f>IFERROR('Oseid Mohamemed Faqih'!J29,"")</f>
        <v/>
      </c>
      <c r="Y12" s="104" t="str">
        <f>IFERROR('Oseid Mohamemed Faqih'!J30,"")</f>
        <v/>
      </c>
      <c r="Z12" s="104" t="str">
        <f>IFERROR('Oseid Mohamemed Faqih'!J31,"")</f>
        <v/>
      </c>
      <c r="AA12" s="104" t="str">
        <f>IFERROR('Oseid Mohamemed Faqih'!J32,"")</f>
        <v/>
      </c>
      <c r="AB12" s="105" t="str">
        <f>IFERROR('Oseid Mohamemed Faqih'!H33,"")</f>
        <v/>
      </c>
      <c r="AC12" s="106">
        <f>IFERROR('Oseid Mohamemed Faqih'!I33,"")</f>
        <v>0</v>
      </c>
      <c r="AD12" s="107">
        <f>IFERROR('Oseid Mohamemed Faqih'!J33,"")</f>
        <v>0</v>
      </c>
    </row>
    <row r="13" spans="1:34" ht="19.5" customHeight="1" x14ac:dyDescent="0.35">
      <c r="B13" s="108" t="s">
        <v>33</v>
      </c>
      <c r="C13" s="108" t="s">
        <v>34</v>
      </c>
      <c r="D13" s="103" t="s">
        <v>22</v>
      </c>
      <c r="E13" s="41" t="s">
        <v>23</v>
      </c>
      <c r="F13" s="50" t="str">
        <f>IFERROR('Kamel Bedrane'!J11,"")</f>
        <v/>
      </c>
      <c r="G13" s="50" t="str">
        <f>IFERROR('Kamel Bedrane'!J12,"")</f>
        <v/>
      </c>
      <c r="H13" s="50" t="str">
        <f>IFERROR('Kamel Bedrane'!J13,"")</f>
        <v/>
      </c>
      <c r="I13" s="50" t="str">
        <f>IFERROR('Kamel Bedrane'!J14,"")</f>
        <v/>
      </c>
      <c r="J13" s="50" t="str">
        <f>IFERROR('Kamel Bedrane'!J15,"")</f>
        <v/>
      </c>
      <c r="K13" s="50" t="str">
        <f>IFERROR('Kamel Bedrane'!J16,"")</f>
        <v/>
      </c>
      <c r="L13" s="50" t="str">
        <f>IFERROR('Kamel Bedrane'!J17,"")</f>
        <v/>
      </c>
      <c r="M13" s="50" t="str">
        <f>IFERROR('Kamel Bedrane'!J18,"")</f>
        <v/>
      </c>
      <c r="N13" s="50" t="str">
        <f>IFERROR('Kamel Bedrane'!J19,"")</f>
        <v/>
      </c>
      <c r="O13" s="50" t="str">
        <f>IFERROR('Kamel Bedrane'!J20,"")</f>
        <v/>
      </c>
      <c r="P13" s="50" t="str">
        <f>IFERROR('Kamel Bedrane'!J21,"")</f>
        <v/>
      </c>
      <c r="Q13" s="50" t="str">
        <f>IFERROR('Kamel Bedrane'!J22,"")</f>
        <v/>
      </c>
      <c r="R13" s="50" t="str">
        <f>IFERROR('Kamel Bedrane'!J23,"")</f>
        <v/>
      </c>
      <c r="S13" s="50" t="str">
        <f>IFERROR('Kamel Bedrane'!J24,"")</f>
        <v/>
      </c>
      <c r="T13" s="50" t="str">
        <f>IFERROR('Kamel Bedrane'!J25,"")</f>
        <v/>
      </c>
      <c r="U13" s="50" t="str">
        <f>IFERROR('Kamel Bedrane'!J26,"")</f>
        <v/>
      </c>
      <c r="V13" s="50" t="str">
        <f>IFERROR('Kamel Bedrane'!J27,"")</f>
        <v/>
      </c>
      <c r="W13" s="50" t="str">
        <f>IFERROR('Kamel Bedrane'!J28,"")</f>
        <v/>
      </c>
      <c r="X13" s="50" t="str">
        <f>IFERROR('Kamel Bedrane'!J29,"")</f>
        <v/>
      </c>
      <c r="Y13" s="50" t="str">
        <f>IFERROR('Kamel Bedrane'!J30,"")</f>
        <v/>
      </c>
      <c r="Z13" s="50" t="str">
        <f>IFERROR('Kamel Bedrane'!J31,"")</f>
        <v/>
      </c>
      <c r="AA13" s="50" t="str">
        <f>IFERROR('Kamel Bedrane'!J32,"")</f>
        <v/>
      </c>
      <c r="AB13" s="105" t="str">
        <f>IFERROR('Kamel Bedrane'!H33,"")</f>
        <v/>
      </c>
      <c r="AC13" s="106">
        <f>IFERROR('Kamel Bedrane'!I33,"")</f>
        <v>0</v>
      </c>
      <c r="AD13" s="107">
        <f>IFERROR('Kamel Bedrane'!J33,"")</f>
        <v>0</v>
      </c>
    </row>
    <row r="14" spans="1:34" ht="19.5" customHeight="1" x14ac:dyDescent="0.35">
      <c r="B14" s="102" t="s">
        <v>35</v>
      </c>
      <c r="C14" s="102" t="s">
        <v>36</v>
      </c>
      <c r="D14" s="109" t="s">
        <v>37</v>
      </c>
      <c r="E14" s="42" t="s">
        <v>26</v>
      </c>
      <c r="F14" s="104" t="str">
        <f>IFERROR('Moamen Mohamed Ahmed Ibrahim'!J11,"")</f>
        <v/>
      </c>
      <c r="G14" s="104" t="str">
        <f>IFERROR('Moamen Mohamed Ahmed Ibrahim'!J12,"")</f>
        <v/>
      </c>
      <c r="H14" s="104" t="str">
        <f>IFERROR('Moamen Mohamed Ahmed Ibrahim'!J13,"")</f>
        <v/>
      </c>
      <c r="I14" s="104" t="str">
        <f>IFERROR('Moamen Mohamed Ahmed Ibrahim'!J14,"")</f>
        <v/>
      </c>
      <c r="J14" s="104" t="str">
        <f>IFERROR('Moamen Mohamed Ahmed Ibrahim'!J15,"")</f>
        <v/>
      </c>
      <c r="K14" s="104" t="str">
        <f>IFERROR('Moamen Mohamed Ahmed Ibrahim'!J16,"")</f>
        <v/>
      </c>
      <c r="L14" s="104" t="str">
        <f>IFERROR('Moamen Mohamed Ahmed Ibrahim'!J17,"")</f>
        <v/>
      </c>
      <c r="M14" s="104" t="str">
        <f>IFERROR('Moamen Mohamed Ahmed Ibrahim'!J18,"")</f>
        <v/>
      </c>
      <c r="N14" s="104" t="str">
        <f>IFERROR('Moamen Mohamed Ahmed Ibrahim'!J19,"")</f>
        <v/>
      </c>
      <c r="O14" s="104" t="str">
        <f>IFERROR('Moamen Mohamed Ahmed Ibrahim'!J20,"")</f>
        <v/>
      </c>
      <c r="P14" s="104" t="str">
        <f>IFERROR('Moamen Mohamed Ahmed Ibrahim'!J21,"")</f>
        <v/>
      </c>
      <c r="Q14" s="104" t="str">
        <f>IFERROR('Moamen Mohamed Ahmed Ibrahim'!J22,"")</f>
        <v/>
      </c>
      <c r="R14" s="104" t="str">
        <f>IFERROR('Moamen Mohamed Ahmed Ibrahim'!J23,"")</f>
        <v/>
      </c>
      <c r="S14" s="104" t="str">
        <f>IFERROR('Moamen Mohamed Ahmed Ibrahim'!J24,"")</f>
        <v/>
      </c>
      <c r="T14" s="104" t="str">
        <f>IFERROR('Moamen Mohamed Ahmed Ibrahim'!J25,"")</f>
        <v/>
      </c>
      <c r="U14" s="104" t="str">
        <f>IFERROR('Moamen Mohamed Ahmed Ibrahim'!J26,"")</f>
        <v/>
      </c>
      <c r="V14" s="104" t="str">
        <f>IFERROR('Moamen Mohamed Ahmed Ibrahim'!J27,"")</f>
        <v/>
      </c>
      <c r="W14" s="104" t="str">
        <f>IFERROR('Moamen Mohamed Ahmed Ibrahim'!J28,"")</f>
        <v/>
      </c>
      <c r="X14" s="104" t="str">
        <f>IFERROR('Moamen Mohamed Ahmed Ibrahim'!J29,"")</f>
        <v/>
      </c>
      <c r="Y14" s="104" t="str">
        <f>IFERROR('Moamen Mohamed Ahmed Ibrahim'!J30,"")</f>
        <v/>
      </c>
      <c r="Z14" s="104" t="str">
        <f>IFERROR('Moamen Mohamed Ahmed Ibrahim'!J31,"")</f>
        <v/>
      </c>
      <c r="AA14" s="104" t="str">
        <f>IFERROR('Moamen Mohamed Ahmed Ibrahim'!J32,"")</f>
        <v/>
      </c>
      <c r="AB14" s="105" t="str">
        <f>IFERROR('Moamen Mohamed Ahmed Ibrahim'!H33,"")</f>
        <v/>
      </c>
      <c r="AC14" s="106">
        <f>IFERROR('Moamen Mohamed Ahmed Ibrahim'!I33,"")</f>
        <v>0</v>
      </c>
      <c r="AD14" s="107">
        <f>IFERROR('Moamen Mohamed Ahmed Ibrahim'!J33,"")</f>
        <v>0</v>
      </c>
    </row>
    <row r="15" spans="1:34" ht="19.5" customHeight="1" x14ac:dyDescent="0.35">
      <c r="B15" s="108" t="s">
        <v>38</v>
      </c>
      <c r="C15" s="108" t="s">
        <v>39</v>
      </c>
      <c r="D15" s="109" t="s">
        <v>37</v>
      </c>
      <c r="E15" s="42" t="s">
        <v>23</v>
      </c>
      <c r="F15" s="50" t="str">
        <f>IFERROR('Ahmed Abdel-Maugod'!J11,"")</f>
        <v/>
      </c>
      <c r="G15" s="50" t="str">
        <f>IFERROR('Ahmed Abdel-Maugod'!J12,"")</f>
        <v/>
      </c>
      <c r="H15" s="50" t="str">
        <f>IFERROR('Ahmed Abdel-Maugod'!J13,"")</f>
        <v/>
      </c>
      <c r="I15" s="50" t="str">
        <f>IFERROR('Ahmed Abdel-Maugod'!J14,"")</f>
        <v/>
      </c>
      <c r="J15" s="50" t="str">
        <f>IFERROR('Ahmed Abdel-Maugod'!J15,"")</f>
        <v/>
      </c>
      <c r="K15" s="50" t="str">
        <f>IFERROR('Ahmed Abdel-Maugod'!J16,"")</f>
        <v/>
      </c>
      <c r="L15" s="50" t="str">
        <f>IFERROR('Ahmed Abdel-Maugod'!J17,"")</f>
        <v/>
      </c>
      <c r="M15" s="50" t="str">
        <f>IFERROR('Ahmed Abdel-Maugod'!J18,"")</f>
        <v/>
      </c>
      <c r="N15" s="50" t="str">
        <f>IFERROR('Ahmed Abdel-Maugod'!J19,"")</f>
        <v/>
      </c>
      <c r="O15" s="50" t="str">
        <f>IFERROR('Ahmed Abdel-Maugod'!J20,"")</f>
        <v/>
      </c>
      <c r="P15" s="50" t="str">
        <f>IFERROR('Ahmed Abdel-Maugod'!J21,"")</f>
        <v/>
      </c>
      <c r="Q15" s="50" t="str">
        <f>IFERROR('Ahmed Abdel-Maugod'!J22,"")</f>
        <v/>
      </c>
      <c r="R15" s="50" t="str">
        <f>IFERROR('Ahmed Abdel-Maugod'!J23,"")</f>
        <v/>
      </c>
      <c r="S15" s="50" t="str">
        <f>IFERROR('Ahmed Abdel-Maugod'!J24,"")</f>
        <v/>
      </c>
      <c r="T15" s="50" t="str">
        <f>IFERROR('Ahmed Abdel-Maugod'!J25,"")</f>
        <v/>
      </c>
      <c r="U15" s="50" t="str">
        <f>IFERROR('Ahmed Abdel-Maugod'!J26,"")</f>
        <v/>
      </c>
      <c r="V15" s="50" t="str">
        <f>IFERROR('Ahmed Abdel-Maugod'!J27,"")</f>
        <v/>
      </c>
      <c r="W15" s="50" t="str">
        <f>IFERROR('Ahmed Abdel-Maugod'!J28,"")</f>
        <v/>
      </c>
      <c r="X15" s="50" t="str">
        <f>IFERROR('Ahmed Abdel-Maugod'!J29,"")</f>
        <v/>
      </c>
      <c r="Y15" s="50" t="str">
        <f>IFERROR('Ahmed Abdel-Maugod'!J30,"")</f>
        <v/>
      </c>
      <c r="Z15" s="50" t="str">
        <f>IFERROR('Ahmed Abdel-Maugod'!J31,"")</f>
        <v/>
      </c>
      <c r="AA15" s="50" t="str">
        <f>IFERROR('Ahmed Abdel-Maugod'!J32,"")</f>
        <v/>
      </c>
      <c r="AB15" s="105" t="str">
        <f>IFERROR('Ahmed Abdel-Maugod'!H33,"")</f>
        <v/>
      </c>
      <c r="AC15" s="106">
        <f>IFERROR('Ahmed Abdel-Maugod'!I33,"")</f>
        <v>0</v>
      </c>
      <c r="AD15" s="107">
        <f>IFERROR('Ahmed Abdel-Maugod'!J33,"")</f>
        <v>0</v>
      </c>
    </row>
    <row r="16" spans="1:34" ht="19.5" customHeight="1" x14ac:dyDescent="0.35">
      <c r="B16" s="102" t="s">
        <v>40</v>
      </c>
      <c r="C16" s="102" t="s">
        <v>41</v>
      </c>
      <c r="D16" s="109" t="s">
        <v>37</v>
      </c>
      <c r="E16" s="42" t="s">
        <v>26</v>
      </c>
      <c r="F16" s="104" t="str">
        <f>IFERROR('Moteeb Albaqami'!J11,"")</f>
        <v/>
      </c>
      <c r="G16" s="104" t="str">
        <f>IFERROR('Moteeb Albaqami'!J12,"")</f>
        <v/>
      </c>
      <c r="H16" s="104" t="str">
        <f>IFERROR('Moteeb Albaqami'!J13,"")</f>
        <v/>
      </c>
      <c r="I16" s="104" t="str">
        <f>IFERROR('Moteeb Albaqami'!J14,"")</f>
        <v/>
      </c>
      <c r="J16" s="104" t="str">
        <f>IFERROR('Moteeb Albaqami'!J15,"")</f>
        <v/>
      </c>
      <c r="K16" s="104" t="str">
        <f>IFERROR('Moteeb Albaqami'!J16,"")</f>
        <v/>
      </c>
      <c r="L16" s="104" t="str">
        <f>IFERROR('Moteeb Albaqami'!J17,"")</f>
        <v/>
      </c>
      <c r="M16" s="104" t="str">
        <f>IFERROR('Moteeb Albaqami'!J18,"")</f>
        <v/>
      </c>
      <c r="N16" s="104" t="str">
        <f>IFERROR('Moteeb Albaqami'!J19,"")</f>
        <v/>
      </c>
      <c r="O16" s="104" t="str">
        <f>IFERROR('Moteeb Albaqami'!J20,"")</f>
        <v/>
      </c>
      <c r="P16" s="104" t="str">
        <f>IFERROR('Moteeb Albaqami'!J21,"")</f>
        <v/>
      </c>
      <c r="Q16" s="104" t="str">
        <f>IFERROR('Moteeb Albaqami'!J22,"")</f>
        <v/>
      </c>
      <c r="R16" s="104" t="str">
        <f>IFERROR('Moteeb Albaqami'!J23,"")</f>
        <v/>
      </c>
      <c r="S16" s="104" t="str">
        <f>IFERROR('Moteeb Albaqami'!J24,"")</f>
        <v/>
      </c>
      <c r="T16" s="104" t="str">
        <f>IFERROR('Moteeb Albaqami'!J25,"")</f>
        <v/>
      </c>
      <c r="U16" s="104" t="str">
        <f>IFERROR('Moteeb Albaqami'!J26,"")</f>
        <v/>
      </c>
      <c r="V16" s="104" t="str">
        <f>IFERROR('Moteeb Albaqami'!J27,"")</f>
        <v/>
      </c>
      <c r="W16" s="104" t="str">
        <f>IFERROR('Moteeb Albaqami'!J28,"")</f>
        <v/>
      </c>
      <c r="X16" s="104" t="str">
        <f>IFERROR('Moteeb Albaqami'!J29,"")</f>
        <v/>
      </c>
      <c r="Y16" s="104" t="str">
        <f>IFERROR('Moteeb Albaqami'!J30,"")</f>
        <v/>
      </c>
      <c r="Z16" s="104" t="str">
        <f>IFERROR('Moteeb Albaqami'!J31,"")</f>
        <v/>
      </c>
      <c r="AA16" s="104" t="str">
        <f>IFERROR('Moteeb Albaqami'!J32,"")</f>
        <v/>
      </c>
      <c r="AB16" s="105" t="str">
        <f>IFERROR('Moteeb Albaqami'!H33,"")</f>
        <v/>
      </c>
      <c r="AC16" s="106">
        <f>IFERROR('Moteeb Albaqami'!I33,"")</f>
        <v>0</v>
      </c>
      <c r="AD16" s="107">
        <f>IFERROR('Moteeb Albaqami'!J33,"")</f>
        <v>0</v>
      </c>
    </row>
    <row r="17" spans="2:30" ht="19.5" customHeight="1" x14ac:dyDescent="0.35">
      <c r="B17" s="108" t="s">
        <v>42</v>
      </c>
      <c r="C17" s="108" t="s">
        <v>43</v>
      </c>
      <c r="D17" s="109" t="s">
        <v>37</v>
      </c>
      <c r="E17" s="42" t="s">
        <v>26</v>
      </c>
      <c r="F17" s="50" t="str">
        <f>IFERROR('Anny Rodrigues de Assis '!J11,"")</f>
        <v/>
      </c>
      <c r="G17" s="50" t="str">
        <f>IFERROR('Anny Rodrigues de Assis '!J12,"")</f>
        <v/>
      </c>
      <c r="H17" s="50" t="str">
        <f>IFERROR('Anny Rodrigues de Assis '!J13,"")</f>
        <v/>
      </c>
      <c r="I17" s="50" t="str">
        <f>IFERROR('Anny Rodrigues de Assis '!J14,"")</f>
        <v/>
      </c>
      <c r="J17" s="50" t="str">
        <f>IFERROR('Anny Rodrigues de Assis '!J15,"")</f>
        <v/>
      </c>
      <c r="K17" s="50" t="str">
        <f>IFERROR('Anny Rodrigues de Assis '!J16,"")</f>
        <v/>
      </c>
      <c r="L17" s="50" t="str">
        <f>IFERROR('Anny Rodrigues de Assis '!J17,"")</f>
        <v/>
      </c>
      <c r="M17" s="50" t="str">
        <f>IFERROR('Anny Rodrigues de Assis '!J18,"")</f>
        <v/>
      </c>
      <c r="N17" s="50" t="str">
        <f>IFERROR('Anny Rodrigues de Assis '!J19,"")</f>
        <v/>
      </c>
      <c r="O17" s="50" t="str">
        <f>IFERROR('Anny Rodrigues de Assis '!J20,"")</f>
        <v/>
      </c>
      <c r="P17" s="50" t="str">
        <f>IFERROR('Anny Rodrigues de Assis '!J21,"")</f>
        <v/>
      </c>
      <c r="Q17" s="50" t="str">
        <f>IFERROR('Anny Rodrigues de Assis '!J22,"")</f>
        <v/>
      </c>
      <c r="R17" s="50" t="str">
        <f>IFERROR('Anny Rodrigues de Assis '!J23,"")</f>
        <v/>
      </c>
      <c r="S17" s="50" t="str">
        <f>IFERROR('Anny Rodrigues de Assis '!J24,"")</f>
        <v/>
      </c>
      <c r="T17" s="50" t="str">
        <f>IFERROR('Anny Rodrigues de Assis '!J25,"")</f>
        <v/>
      </c>
      <c r="U17" s="50" t="str">
        <f>IFERROR('Anny Rodrigues de Assis '!J26,"")</f>
        <v/>
      </c>
      <c r="V17" s="50" t="str">
        <f>IFERROR('Anny Rodrigues de Assis '!J27,"")</f>
        <v/>
      </c>
      <c r="W17" s="50" t="str">
        <f>IFERROR('Anny Rodrigues de Assis '!J28,"")</f>
        <v/>
      </c>
      <c r="X17" s="50" t="str">
        <f>IFERROR('Anny Rodrigues de Assis '!J29,"")</f>
        <v/>
      </c>
      <c r="Y17" s="50" t="str">
        <f>IFERROR('Anny Rodrigues de Assis '!J30,"")</f>
        <v/>
      </c>
      <c r="Z17" s="50" t="str">
        <f>IFERROR('Anny Rodrigues de Assis '!J31,"")</f>
        <v/>
      </c>
      <c r="AA17" s="50" t="str">
        <f>IFERROR('Anny Rodrigues de Assis '!J32,"")</f>
        <v/>
      </c>
      <c r="AB17" s="105" t="str">
        <f>IFERROR('Anny Rodrigues de Assis '!H33,"")</f>
        <v/>
      </c>
      <c r="AC17" s="106">
        <f>IFERROR('Anny Rodrigues de Assis '!I33,"")</f>
        <v>0</v>
      </c>
      <c r="AD17" s="107">
        <f>IFERROR('Anny Rodrigues de Assis '!J33,"")</f>
        <v>0</v>
      </c>
    </row>
    <row r="18" spans="2:30" ht="19.5" customHeight="1" x14ac:dyDescent="0.35">
      <c r="B18" s="102" t="s">
        <v>44</v>
      </c>
      <c r="C18" s="102" t="s">
        <v>45</v>
      </c>
      <c r="D18" s="109" t="s">
        <v>37</v>
      </c>
      <c r="E18" s="42" t="s">
        <v>23</v>
      </c>
      <c r="F18" s="104" t="str">
        <f>IFERROR('Eduardo Salles de Carvalho'!J11,"")</f>
        <v/>
      </c>
      <c r="G18" s="104" t="str">
        <f>IFERROR('Eduardo Salles de Carvalho'!J12,"")</f>
        <v/>
      </c>
      <c r="H18" s="104" t="str">
        <f>IFERROR('Eduardo Salles de Carvalho'!J13,"")</f>
        <v/>
      </c>
      <c r="I18" s="104" t="str">
        <f>IFERROR('Eduardo Salles de Carvalho'!J14,"")</f>
        <v/>
      </c>
      <c r="J18" s="104" t="str">
        <f>IFERROR('Eduardo Salles de Carvalho'!J15,"")</f>
        <v/>
      </c>
      <c r="K18" s="104" t="str">
        <f>IFERROR('Eduardo Salles de Carvalho'!J16,"")</f>
        <v/>
      </c>
      <c r="L18" s="104" t="str">
        <f>IFERROR('Eduardo Salles de Carvalho'!J17,"")</f>
        <v/>
      </c>
      <c r="M18" s="104" t="str">
        <f>IFERROR('Eduardo Salles de Carvalho'!J18,"")</f>
        <v/>
      </c>
      <c r="N18" s="104" t="str">
        <f>IFERROR('Eduardo Salles de Carvalho'!J19,"")</f>
        <v/>
      </c>
      <c r="O18" s="104" t="str">
        <f>IFERROR('Eduardo Salles de Carvalho'!J20,"")</f>
        <v/>
      </c>
      <c r="P18" s="104" t="str">
        <f>IFERROR('Eduardo Salles de Carvalho'!J21,"")</f>
        <v/>
      </c>
      <c r="Q18" s="104" t="str">
        <f>IFERROR('Eduardo Salles de Carvalho'!J22,"")</f>
        <v/>
      </c>
      <c r="R18" s="104" t="str">
        <f>IFERROR('Eduardo Salles de Carvalho'!J23,"")</f>
        <v/>
      </c>
      <c r="S18" s="104" t="str">
        <f>IFERROR('Eduardo Salles de Carvalho'!J24,"")</f>
        <v/>
      </c>
      <c r="T18" s="104" t="str">
        <f>IFERROR('Eduardo Salles de Carvalho'!J25,"")</f>
        <v/>
      </c>
      <c r="U18" s="104" t="str">
        <f>IFERROR('Eduardo Salles de Carvalho'!J26,"")</f>
        <v/>
      </c>
      <c r="V18" s="104" t="str">
        <f>IFERROR('Eduardo Salles de Carvalho'!J27,"")</f>
        <v/>
      </c>
      <c r="W18" s="104" t="str">
        <f>IFERROR('Eduardo Salles de Carvalho'!J28,"")</f>
        <v/>
      </c>
      <c r="X18" s="104" t="str">
        <f>IFERROR('Eduardo Salles de Carvalho'!J29,"")</f>
        <v/>
      </c>
      <c r="Y18" s="104" t="str">
        <f>IFERROR('Eduardo Salles de Carvalho'!J30,"")</f>
        <v/>
      </c>
      <c r="Z18" s="104" t="str">
        <f>IFERROR('Eduardo Salles de Carvalho'!J31,"")</f>
        <v/>
      </c>
      <c r="AA18" s="104" t="str">
        <f>IFERROR('Eduardo Salles de Carvalho'!J32,"")</f>
        <v/>
      </c>
      <c r="AB18" s="105" t="str">
        <f>IFERROR('Eduardo Salles de Carvalho'!H33,"")</f>
        <v/>
      </c>
      <c r="AC18" s="106">
        <f>IFERROR('Eduardo Salles de Carvalho'!I33,"")</f>
        <v>0</v>
      </c>
      <c r="AD18" s="107">
        <f>IFERROR('Eduardo Salles de Carvalho'!J33,"")</f>
        <v>0</v>
      </c>
    </row>
    <row r="19" spans="2:30" ht="19.5" customHeight="1" x14ac:dyDescent="0.35">
      <c r="B19" s="108" t="s">
        <v>46</v>
      </c>
      <c r="C19" s="108" t="s">
        <v>47</v>
      </c>
      <c r="D19" s="109" t="s">
        <v>37</v>
      </c>
      <c r="E19" s="42" t="s">
        <v>23</v>
      </c>
      <c r="F19" s="50" t="str">
        <f>IFERROR('Marco Antonio Martins'!J11,"")</f>
        <v/>
      </c>
      <c r="G19" s="50" t="str">
        <f>IFERROR('Marco Antonio Martins'!J12,"")</f>
        <v/>
      </c>
      <c r="H19" s="50" t="str">
        <f>IFERROR('Marco Antonio Martins'!J13,"")</f>
        <v/>
      </c>
      <c r="I19" s="50" t="str">
        <f>IFERROR('Marco Antonio Martins'!J14,"")</f>
        <v/>
      </c>
      <c r="J19" s="50" t="str">
        <f>IFERROR('Marco Antonio Martins'!J15,"")</f>
        <v/>
      </c>
      <c r="K19" s="50" t="str">
        <f>IFERROR('Marco Antonio Martins'!J16,"")</f>
        <v/>
      </c>
      <c r="L19" s="50" t="str">
        <f>IFERROR('Marco Antonio Martins'!J17,"")</f>
        <v/>
      </c>
      <c r="M19" s="50" t="str">
        <f>IFERROR('Marco Antonio Martins'!J18,"")</f>
        <v/>
      </c>
      <c r="N19" s="50" t="str">
        <f>IFERROR('Marco Antonio Martins'!J19,"")</f>
        <v/>
      </c>
      <c r="O19" s="50" t="str">
        <f>IFERROR('Marco Antonio Martins'!J20,"")</f>
        <v/>
      </c>
      <c r="P19" s="50" t="str">
        <f>IFERROR('Marco Antonio Martins'!J21,"")</f>
        <v/>
      </c>
      <c r="Q19" s="50" t="str">
        <f>IFERROR('Marco Antonio Martins'!J22,"")</f>
        <v/>
      </c>
      <c r="R19" s="50" t="str">
        <f>IFERROR('Marco Antonio Martins'!J23,"")</f>
        <v/>
      </c>
      <c r="S19" s="50" t="str">
        <f>IFERROR('Marco Antonio Martins'!J24,"")</f>
        <v/>
      </c>
      <c r="T19" s="50" t="str">
        <f>IFERROR('Marco Antonio Martins'!J25,"")</f>
        <v/>
      </c>
      <c r="U19" s="50" t="str">
        <f>IFERROR('Marco Antonio Martins'!J26,"")</f>
        <v/>
      </c>
      <c r="V19" s="50" t="str">
        <f>IFERROR('Marco Antonio Martins'!J27,"")</f>
        <v/>
      </c>
      <c r="W19" s="50" t="str">
        <f>IFERROR('Marco Antonio Martins'!J28,"")</f>
        <v/>
      </c>
      <c r="X19" s="50" t="str">
        <f>IFERROR('Marco Antonio Martins'!J29,"")</f>
        <v/>
      </c>
      <c r="Y19" s="50" t="str">
        <f>IFERROR('Marco Antonio Martins'!J30,"")</f>
        <v/>
      </c>
      <c r="Z19" s="50" t="str">
        <f>IFERROR('Marco Antonio Martins'!J31,"")</f>
        <v/>
      </c>
      <c r="AA19" s="50" t="str">
        <f>IFERROR('Marco Antonio Martins'!J32,"")</f>
        <v/>
      </c>
      <c r="AB19" s="105" t="str">
        <f>IFERROR('Marco Antonio Martins'!H33,"")</f>
        <v/>
      </c>
      <c r="AC19" s="106">
        <f>IFERROR('Marco Antonio Martins'!I33,"")</f>
        <v>0</v>
      </c>
      <c r="AD19" s="107">
        <f>IFERROR('Marco Antonio Martins'!J33,"")</f>
        <v>0</v>
      </c>
    </row>
    <row r="20" spans="2:30" ht="19.5" customHeight="1" x14ac:dyDescent="0.35">
      <c r="B20" s="102" t="s">
        <v>48</v>
      </c>
      <c r="C20" s="102" t="s">
        <v>49</v>
      </c>
      <c r="D20" s="110" t="s">
        <v>50</v>
      </c>
      <c r="E20" s="111" t="s">
        <v>26</v>
      </c>
      <c r="F20" s="104" t="str">
        <f>IFERROR('AM13'!J11,"")</f>
        <v/>
      </c>
      <c r="G20" s="104" t="str">
        <f>IFERROR('AM13'!J12,"")</f>
        <v/>
      </c>
      <c r="H20" s="104" t="str">
        <f>IFERROR('AM13'!J13,"")</f>
        <v/>
      </c>
      <c r="I20" s="104" t="str">
        <f>IFERROR('AM13'!J14,"")</f>
        <v/>
      </c>
      <c r="J20" s="104" t="str">
        <f>IFERROR('AM13'!J15,"")</f>
        <v/>
      </c>
      <c r="K20" s="104" t="str">
        <f>IFERROR('AM13'!J16,"")</f>
        <v/>
      </c>
      <c r="L20" s="104" t="str">
        <f>IFERROR('AM13'!J17,"")</f>
        <v/>
      </c>
      <c r="M20" s="104" t="str">
        <f>IFERROR('AM13'!J18,"")</f>
        <v/>
      </c>
      <c r="N20" s="104" t="str">
        <f>IFERROR('AM13'!J19,"")</f>
        <v/>
      </c>
      <c r="O20" s="104" t="str">
        <f>IFERROR('AM13'!J20,"")</f>
        <v/>
      </c>
      <c r="P20" s="104" t="str">
        <f>IFERROR('AM13'!J21,"")</f>
        <v/>
      </c>
      <c r="Q20" s="104" t="str">
        <f>IFERROR('AM13'!J22,"")</f>
        <v/>
      </c>
      <c r="R20" s="104" t="str">
        <f>IFERROR('AM13'!J23,"")</f>
        <v/>
      </c>
      <c r="S20" s="104" t="str">
        <f>IFERROR('AM13'!J24,"")</f>
        <v/>
      </c>
      <c r="T20" s="104" t="str">
        <f>IFERROR('AM13'!J25,"")</f>
        <v/>
      </c>
      <c r="U20" s="104" t="str">
        <f>IFERROR('AM13'!J26,"")</f>
        <v/>
      </c>
      <c r="V20" s="104" t="str">
        <f>IFERROR('AM13'!J27,"")</f>
        <v/>
      </c>
      <c r="W20" s="104" t="str">
        <f>IFERROR('AM13'!J28,"")</f>
        <v/>
      </c>
      <c r="X20" s="104" t="str">
        <f>IFERROR('AM13'!J29,"")</f>
        <v/>
      </c>
      <c r="Y20" s="104" t="str">
        <f>IFERROR('AM13'!J30,"")</f>
        <v/>
      </c>
      <c r="Z20" s="104" t="str">
        <f>IFERROR('AM13'!J31,"")</f>
        <v/>
      </c>
      <c r="AA20" s="104" t="str">
        <f>IFERROR('AM13'!J32,"")</f>
        <v/>
      </c>
      <c r="AB20" s="105" t="str">
        <f>IFERROR('AM13'!H33,"")</f>
        <v/>
      </c>
      <c r="AC20" s="106">
        <f>IFERROR('AM13'!I33,"")</f>
        <v>0</v>
      </c>
      <c r="AD20" s="107">
        <f>IFERROR('AM13'!J33,"")</f>
        <v>0</v>
      </c>
    </row>
    <row r="21" spans="2:30" ht="19.5" customHeight="1" x14ac:dyDescent="0.35">
      <c r="B21" s="108" t="s">
        <v>51</v>
      </c>
      <c r="C21" s="108" t="s">
        <v>52</v>
      </c>
      <c r="D21" s="110" t="s">
        <v>50</v>
      </c>
      <c r="E21" s="111" t="s">
        <v>23</v>
      </c>
      <c r="F21" s="50" t="str">
        <f>IFERROR('AM14'!J11,"")</f>
        <v/>
      </c>
      <c r="G21" s="50" t="str">
        <f>IFERROR('AM14'!J12,"")</f>
        <v/>
      </c>
      <c r="H21" s="50" t="str">
        <f>IFERROR('AM14'!J13,"")</f>
        <v/>
      </c>
      <c r="I21" s="50" t="str">
        <f>IFERROR('AM14'!J14,"")</f>
        <v/>
      </c>
      <c r="J21" s="50" t="str">
        <f>IFERROR('AM14'!J15,"")</f>
        <v/>
      </c>
      <c r="K21" s="50" t="str">
        <f>IFERROR('AM14'!J16,"")</f>
        <v/>
      </c>
      <c r="L21" s="50" t="str">
        <f>IFERROR('AM14'!J17,"")</f>
        <v/>
      </c>
      <c r="M21" s="50" t="str">
        <f>IFERROR('AM14'!J18,"")</f>
        <v/>
      </c>
      <c r="N21" s="50" t="str">
        <f>IFERROR('AM14'!J19,"")</f>
        <v/>
      </c>
      <c r="O21" s="50" t="str">
        <f>IFERROR('AM14'!J20,"")</f>
        <v/>
      </c>
      <c r="P21" s="50" t="str">
        <f>IFERROR('AM14'!J21,"")</f>
        <v/>
      </c>
      <c r="Q21" s="50" t="str">
        <f>IFERROR('AM14'!J22,"")</f>
        <v/>
      </c>
      <c r="R21" s="50" t="str">
        <f>IFERROR('AM14'!J23,"")</f>
        <v/>
      </c>
      <c r="S21" s="50" t="str">
        <f>IFERROR('AM14'!J24,"")</f>
        <v/>
      </c>
      <c r="T21" s="50" t="str">
        <f>IFERROR('AM14'!J25,"")</f>
        <v/>
      </c>
      <c r="U21" s="50" t="str">
        <f>IFERROR('AM14'!J26,"")</f>
        <v/>
      </c>
      <c r="V21" s="50" t="str">
        <f>IFERROR('AM14'!J27,"")</f>
        <v/>
      </c>
      <c r="W21" s="50" t="str">
        <f>IFERROR('AM14'!J28,"")</f>
        <v/>
      </c>
      <c r="X21" s="50" t="str">
        <f>IFERROR('AM14'!J29,"")</f>
        <v/>
      </c>
      <c r="Y21" s="50" t="str">
        <f>IFERROR('AM14'!J30,"")</f>
        <v/>
      </c>
      <c r="Z21" s="50" t="str">
        <f>IFERROR('AM14'!J31,"")</f>
        <v/>
      </c>
      <c r="AA21" s="50" t="str">
        <f>IFERROR('AM14'!J32,"")</f>
        <v/>
      </c>
      <c r="AB21" s="105" t="str">
        <f>IFERROR('AM14'!H33,"")</f>
        <v/>
      </c>
      <c r="AC21" s="106">
        <f>IFERROR('AM14'!I33,"")</f>
        <v>0</v>
      </c>
      <c r="AD21" s="107">
        <f>IFERROR('AM14'!J33,"")</f>
        <v>0</v>
      </c>
    </row>
    <row r="22" spans="2:30" ht="19.5" customHeight="1" x14ac:dyDescent="0.35">
      <c r="B22" s="102" t="s">
        <v>53</v>
      </c>
      <c r="C22" s="102" t="s">
        <v>54</v>
      </c>
      <c r="D22" s="110" t="s">
        <v>50</v>
      </c>
      <c r="E22" s="111" t="s">
        <v>26</v>
      </c>
      <c r="F22" s="104" t="str">
        <f>IFERROR('AM15'!J11,"")</f>
        <v/>
      </c>
      <c r="G22" s="104" t="str">
        <f>IFERROR('AM15'!J12,"")</f>
        <v/>
      </c>
      <c r="H22" s="104" t="str">
        <f>IFERROR('AM15'!J13,"")</f>
        <v/>
      </c>
      <c r="I22" s="104" t="str">
        <f>IFERROR('AM15'!J14,"")</f>
        <v/>
      </c>
      <c r="J22" s="104" t="str">
        <f>IFERROR('AM15'!J15,"")</f>
        <v/>
      </c>
      <c r="K22" s="104" t="str">
        <f>IFERROR('AM15'!J16,"")</f>
        <v/>
      </c>
      <c r="L22" s="104" t="str">
        <f>IFERROR('AM15'!J17,"")</f>
        <v/>
      </c>
      <c r="M22" s="104" t="str">
        <f>IFERROR('AM15'!J18,"")</f>
        <v/>
      </c>
      <c r="N22" s="104" t="str">
        <f>IFERROR('AM15'!J19,"")</f>
        <v/>
      </c>
      <c r="O22" s="104" t="str">
        <f>IFERROR('AM15'!J20,"")</f>
        <v/>
      </c>
      <c r="P22" s="104" t="str">
        <f>IFERROR('AM15'!J21,"")</f>
        <v/>
      </c>
      <c r="Q22" s="104" t="str">
        <f>IFERROR('AM15'!J22,"")</f>
        <v/>
      </c>
      <c r="R22" s="104" t="str">
        <f>IFERROR('AM15'!J23,"")</f>
        <v/>
      </c>
      <c r="S22" s="104" t="str">
        <f>IFERROR('AM15'!J24,"")</f>
        <v/>
      </c>
      <c r="T22" s="104" t="str">
        <f>IFERROR('AM15'!J25,"")</f>
        <v/>
      </c>
      <c r="U22" s="104" t="str">
        <f>IFERROR('AM15'!J26,"")</f>
        <v/>
      </c>
      <c r="V22" s="104" t="str">
        <f>IFERROR('AM15'!J27,"")</f>
        <v/>
      </c>
      <c r="W22" s="104" t="str">
        <f>IFERROR('AM15'!J28,"")</f>
        <v/>
      </c>
      <c r="X22" s="104" t="str">
        <f>IFERROR('AM15'!J29,"")</f>
        <v/>
      </c>
      <c r="Y22" s="104" t="str">
        <f>IFERROR('AM15'!J30,"")</f>
        <v/>
      </c>
      <c r="Z22" s="104" t="str">
        <f>IFERROR('AM15'!J31,"")</f>
        <v/>
      </c>
      <c r="AA22" s="104" t="str">
        <f>IFERROR('AM15'!J32,"")</f>
        <v/>
      </c>
      <c r="AB22" s="105" t="str">
        <f>IFERROR('AM15'!H33,"")</f>
        <v/>
      </c>
      <c r="AC22" s="106">
        <f>IFERROR('AM15'!I33,"")</f>
        <v>0</v>
      </c>
      <c r="AD22" s="107">
        <f>IFERROR('AM15'!J33,"")</f>
        <v>0</v>
      </c>
    </row>
    <row r="23" spans="2:30" ht="19.5" customHeight="1" x14ac:dyDescent="0.35">
      <c r="B23" s="108" t="s">
        <v>55</v>
      </c>
      <c r="C23" s="108" t="s">
        <v>56</v>
      </c>
      <c r="D23" s="110" t="s">
        <v>50</v>
      </c>
      <c r="E23" s="111" t="s">
        <v>26</v>
      </c>
      <c r="F23" s="50" t="str">
        <f>IFERROR('AM16'!J11,"")</f>
        <v/>
      </c>
      <c r="G23" s="50" t="str">
        <f>IFERROR('AM16'!J12,"")</f>
        <v/>
      </c>
      <c r="H23" s="50" t="str">
        <f>IFERROR('AM16'!J13,"")</f>
        <v/>
      </c>
      <c r="I23" s="50" t="str">
        <f>IFERROR('AM16'!J14,"")</f>
        <v/>
      </c>
      <c r="J23" s="50" t="str">
        <f>IFERROR('AM16'!J15,"")</f>
        <v/>
      </c>
      <c r="K23" s="50" t="str">
        <f>IFERROR('AM16'!J16,"")</f>
        <v/>
      </c>
      <c r="L23" s="50" t="str">
        <f>IFERROR('AM16'!J17,"")</f>
        <v/>
      </c>
      <c r="M23" s="50" t="str">
        <f>IFERROR('AM16'!J18,"")</f>
        <v/>
      </c>
      <c r="N23" s="50" t="str">
        <f>IFERROR('AM16'!J19,"")</f>
        <v/>
      </c>
      <c r="O23" s="50" t="str">
        <f>IFERROR('AM16'!J20,"")</f>
        <v/>
      </c>
      <c r="P23" s="50" t="str">
        <f>IFERROR('AM16'!J21,"")</f>
        <v/>
      </c>
      <c r="Q23" s="50" t="str">
        <f>IFERROR('AM16'!J22,"")</f>
        <v/>
      </c>
      <c r="R23" s="50" t="str">
        <f>IFERROR('AM16'!J23,"")</f>
        <v/>
      </c>
      <c r="S23" s="50" t="str">
        <f>IFERROR('AM16'!J24,"")</f>
        <v/>
      </c>
      <c r="T23" s="50" t="str">
        <f>IFERROR('AM16'!J25,"")</f>
        <v/>
      </c>
      <c r="U23" s="50" t="str">
        <f>IFERROR('AM16'!J26,"")</f>
        <v/>
      </c>
      <c r="V23" s="50" t="str">
        <f>IFERROR('AM16'!J27,"")</f>
        <v/>
      </c>
      <c r="W23" s="50" t="str">
        <f>IFERROR('AM16'!J28,"")</f>
        <v/>
      </c>
      <c r="X23" s="50" t="str">
        <f>IFERROR('AM16'!J29,"")</f>
        <v/>
      </c>
      <c r="Y23" s="50" t="str">
        <f>IFERROR('AM16'!J30,"")</f>
        <v/>
      </c>
      <c r="Z23" s="50" t="str">
        <f>IFERROR('AM16'!J31,"")</f>
        <v/>
      </c>
      <c r="AA23" s="50" t="str">
        <f>IFERROR('AM16'!J32,"")</f>
        <v/>
      </c>
      <c r="AB23" s="105" t="str">
        <f>IFERROR('AM16'!H33,"")</f>
        <v/>
      </c>
      <c r="AC23" s="106">
        <f>IFERROR('AM16'!I33,"")</f>
        <v>0</v>
      </c>
      <c r="AD23" s="107">
        <f>IFERROR('AM16'!J33,"")</f>
        <v>0</v>
      </c>
    </row>
    <row r="24" spans="2:30" ht="19.5" customHeight="1" x14ac:dyDescent="0.35">
      <c r="B24" s="102" t="s">
        <v>57</v>
      </c>
      <c r="C24" s="102" t="s">
        <v>58</v>
      </c>
      <c r="D24" s="110" t="s">
        <v>50</v>
      </c>
      <c r="E24" s="111" t="s">
        <v>23</v>
      </c>
      <c r="F24" s="104" t="str">
        <f>IFERROR('AM17'!J11,"")</f>
        <v/>
      </c>
      <c r="G24" s="104" t="str">
        <f>IFERROR('AM17'!J12,"")</f>
        <v/>
      </c>
      <c r="H24" s="104" t="str">
        <f>IFERROR('AM17'!J13,"")</f>
        <v/>
      </c>
      <c r="I24" s="104" t="str">
        <f>IFERROR('AM17'!J14,"")</f>
        <v/>
      </c>
      <c r="J24" s="104" t="str">
        <f>IFERROR('AM17'!J15,"")</f>
        <v/>
      </c>
      <c r="K24" s="104" t="str">
        <f>IFERROR('AM17'!J16,"")</f>
        <v/>
      </c>
      <c r="L24" s="104" t="str">
        <f>IFERROR('AM17'!J17,"")</f>
        <v/>
      </c>
      <c r="M24" s="104" t="str">
        <f>IFERROR('AM17'!J18,"")</f>
        <v/>
      </c>
      <c r="N24" s="104" t="str">
        <f>IFERROR('AM17'!J19,"")</f>
        <v/>
      </c>
      <c r="O24" s="104" t="str">
        <f>IFERROR('AM17'!J20,"")</f>
        <v/>
      </c>
      <c r="P24" s="104" t="str">
        <f>IFERROR('AM17'!J21,"")</f>
        <v/>
      </c>
      <c r="Q24" s="104" t="str">
        <f>IFERROR('AM17'!J22,"")</f>
        <v/>
      </c>
      <c r="R24" s="104" t="str">
        <f>IFERROR('AM17'!J23,"")</f>
        <v/>
      </c>
      <c r="S24" s="104" t="str">
        <f>IFERROR('AM17'!J24,"")</f>
        <v/>
      </c>
      <c r="T24" s="104" t="str">
        <f>IFERROR('AM17'!J25,"")</f>
        <v/>
      </c>
      <c r="U24" s="104" t="str">
        <f>IFERROR('AM17'!J26,"")</f>
        <v/>
      </c>
      <c r="V24" s="104" t="str">
        <f>IFERROR('AM17'!J27,"")</f>
        <v/>
      </c>
      <c r="W24" s="104" t="str">
        <f>IFERROR('AM17'!J28,"")</f>
        <v/>
      </c>
      <c r="X24" s="104" t="str">
        <f>IFERROR('AM17'!J29,"")</f>
        <v/>
      </c>
      <c r="Y24" s="104" t="str">
        <f>IFERROR('AM17'!J30,"")</f>
        <v/>
      </c>
      <c r="Z24" s="104" t="str">
        <f>IFERROR('AM17'!J31,"")</f>
        <v/>
      </c>
      <c r="AA24" s="104" t="str">
        <f>IFERROR('AM17'!J32,"")</f>
        <v/>
      </c>
      <c r="AB24" s="105" t="str">
        <f>IFERROR('AM17'!H33,"")</f>
        <v/>
      </c>
      <c r="AC24" s="106">
        <f>IFERROR('AM17'!I33,"")</f>
        <v>0</v>
      </c>
      <c r="AD24" s="107">
        <f>IFERROR('AM17'!J33,"")</f>
        <v>0</v>
      </c>
    </row>
    <row r="25" spans="2:30" ht="19.5" customHeight="1" x14ac:dyDescent="0.35">
      <c r="B25" s="108" t="s">
        <v>59</v>
      </c>
      <c r="C25" s="108" t="s">
        <v>60</v>
      </c>
      <c r="D25" s="110" t="s">
        <v>50</v>
      </c>
      <c r="E25" s="111" t="s">
        <v>23</v>
      </c>
      <c r="F25" s="50" t="str">
        <f>IFERROR('AM18'!J11,"")</f>
        <v/>
      </c>
      <c r="G25" s="50" t="str">
        <f>IFERROR('AM18'!J12,"")</f>
        <v/>
      </c>
      <c r="H25" s="50" t="str">
        <f>IFERROR('AM18'!J13,"")</f>
        <v/>
      </c>
      <c r="I25" s="50" t="str">
        <f>IFERROR('AM18'!J14,"")</f>
        <v/>
      </c>
      <c r="J25" s="50" t="str">
        <f>IFERROR('AM18'!J15,"")</f>
        <v/>
      </c>
      <c r="K25" s="50" t="str">
        <f>IFERROR('AM18'!J16,"")</f>
        <v/>
      </c>
      <c r="L25" s="50" t="str">
        <f>IFERROR('AM18'!J17,"")</f>
        <v/>
      </c>
      <c r="M25" s="50" t="str">
        <f>IFERROR('AM18'!J18,"")</f>
        <v/>
      </c>
      <c r="N25" s="50" t="str">
        <f>IFERROR('AM18'!J19,"")</f>
        <v/>
      </c>
      <c r="O25" s="50" t="str">
        <f>IFERROR('AM18'!J20,"")</f>
        <v/>
      </c>
      <c r="P25" s="50" t="str">
        <f>IFERROR('AM18'!J21,"")</f>
        <v/>
      </c>
      <c r="Q25" s="50" t="str">
        <f>IFERROR('AM18'!J22,"")</f>
        <v/>
      </c>
      <c r="R25" s="50" t="str">
        <f>IFERROR('AM18'!J23,"")</f>
        <v/>
      </c>
      <c r="S25" s="50" t="str">
        <f>IFERROR('AM18'!J24,"")</f>
        <v/>
      </c>
      <c r="T25" s="50" t="str">
        <f>IFERROR('AM18'!J25,"")</f>
        <v/>
      </c>
      <c r="U25" s="50" t="str">
        <f>IFERROR('AM18'!J26,"")</f>
        <v/>
      </c>
      <c r="V25" s="50" t="str">
        <f>IFERROR('AM18'!J27,"")</f>
        <v/>
      </c>
      <c r="W25" s="50" t="str">
        <f>IFERROR('AM18'!J28,"")</f>
        <v/>
      </c>
      <c r="X25" s="50" t="str">
        <f>IFERROR('AM18'!J29,"")</f>
        <v/>
      </c>
      <c r="Y25" s="50" t="str">
        <f>IFERROR('AM18'!J30,"")</f>
        <v/>
      </c>
      <c r="Z25" s="50" t="str">
        <f>IFERROR('AM18'!J31,"")</f>
        <v/>
      </c>
      <c r="AA25" s="50" t="str">
        <f>IFERROR('AM18'!J32,"")</f>
        <v/>
      </c>
      <c r="AB25" s="105" t="str">
        <f>IFERROR('AM18'!H33,"")</f>
        <v/>
      </c>
      <c r="AC25" s="106">
        <f>IFERROR('AM18'!I33,"")</f>
        <v>0</v>
      </c>
      <c r="AD25" s="107">
        <f>IFERROR('AM18'!J33,"")</f>
        <v>0</v>
      </c>
    </row>
    <row r="26" spans="2:30" ht="19.5" customHeight="1" x14ac:dyDescent="0.35">
      <c r="B26" s="102" t="s">
        <v>61</v>
      </c>
      <c r="C26" s="102" t="s">
        <v>62</v>
      </c>
      <c r="D26" s="112" t="s">
        <v>63</v>
      </c>
      <c r="E26" s="113" t="s">
        <v>23</v>
      </c>
      <c r="F26" s="104" t="str">
        <f>IFERROR('Brian Casserly'!J11,"")</f>
        <v/>
      </c>
      <c r="G26" s="104" t="str">
        <f>IFERROR('Brian Casserly'!J12,"")</f>
        <v/>
      </c>
      <c r="H26" s="104" t="str">
        <f>IFERROR('Brian Casserly'!J13,"")</f>
        <v/>
      </c>
      <c r="I26" s="104" t="str">
        <f>IFERROR('Brian Casserly'!J14,"")</f>
        <v/>
      </c>
      <c r="J26" s="104" t="str">
        <f>IFERROR('Brian Casserly'!J15,"")</f>
        <v/>
      </c>
      <c r="K26" s="104" t="str">
        <f>IFERROR('Brian Casserly'!J16,"")</f>
        <v/>
      </c>
      <c r="L26" s="104" t="str">
        <f>IFERROR('Brian Casserly'!J17,"")</f>
        <v/>
      </c>
      <c r="M26" s="104" t="str">
        <f>IFERROR('Brian Casserly'!J18,"")</f>
        <v/>
      </c>
      <c r="N26" s="104" t="str">
        <f>IFERROR('Brian Casserly'!J19,"")</f>
        <v/>
      </c>
      <c r="O26" s="104" t="str">
        <f>IFERROR('Brian Casserly'!J20,"")</f>
        <v/>
      </c>
      <c r="P26" s="104" t="str">
        <f>IFERROR('Brian Casserly'!J21,"")</f>
        <v/>
      </c>
      <c r="Q26" s="104" t="str">
        <f>IFERROR('Brian Casserly'!J22,"")</f>
        <v/>
      </c>
      <c r="R26" s="104" t="str">
        <f>IFERROR('Brian Casserly'!J23,"")</f>
        <v/>
      </c>
      <c r="S26" s="104" t="str">
        <f>IFERROR('Brian Casserly'!J24,"")</f>
        <v/>
      </c>
      <c r="T26" s="104" t="str">
        <f>IFERROR('Brian Casserly'!J25,"")</f>
        <v/>
      </c>
      <c r="U26" s="104" t="str">
        <f>IFERROR('Brian Casserly'!J26,"")</f>
        <v/>
      </c>
      <c r="V26" s="104" t="str">
        <f>IFERROR('Brian Casserly'!J27,"")</f>
        <v/>
      </c>
      <c r="W26" s="104" t="str">
        <f>IFERROR('Brian Casserly'!J28,"")</f>
        <v/>
      </c>
      <c r="X26" s="104" t="str">
        <f>IFERROR('Brian Casserly'!J29,"")</f>
        <v/>
      </c>
      <c r="Y26" s="104" t="str">
        <f>IFERROR('Brian Casserly'!J30,"")</f>
        <v/>
      </c>
      <c r="Z26" s="104" t="str">
        <f>IFERROR('Brian Casserly'!J31,"")</f>
        <v/>
      </c>
      <c r="AA26" s="104" t="str">
        <f>IFERROR('Brian Casserly'!J32,"")</f>
        <v/>
      </c>
      <c r="AB26" s="105" t="str">
        <f>IFERROR('Brian Casserly'!H33,"")</f>
        <v/>
      </c>
      <c r="AC26" s="106">
        <f>IFERROR('Brian Casserly'!I33,"")</f>
        <v>0</v>
      </c>
      <c r="AD26" s="107">
        <f>IFERROR('Brian Casserly'!J33,"")</f>
        <v>0</v>
      </c>
    </row>
    <row r="27" spans="2:30" ht="19.5" customHeight="1" x14ac:dyDescent="0.35">
      <c r="B27" s="108" t="s">
        <v>64</v>
      </c>
      <c r="C27" s="108" t="s">
        <v>65</v>
      </c>
      <c r="D27" s="112" t="s">
        <v>63</v>
      </c>
      <c r="E27" s="113" t="s">
        <v>26</v>
      </c>
      <c r="F27" s="50" t="str">
        <f>IFERROR('Vishal Nayak'!J11,"")</f>
        <v/>
      </c>
      <c r="G27" s="50" t="str">
        <f>IFERROR('Vishal Nayak'!J12,"")</f>
        <v/>
      </c>
      <c r="H27" s="50" t="str">
        <f>IFERROR('Vishal Nayak'!J13,"")</f>
        <v/>
      </c>
      <c r="I27" s="50" t="str">
        <f>IFERROR('Vishal Nayak'!J14,"")</f>
        <v/>
      </c>
      <c r="J27" s="50" t="str">
        <f>IFERROR('Vishal Nayak'!J15,"")</f>
        <v/>
      </c>
      <c r="K27" s="50" t="str">
        <f>IFERROR('Vishal Nayak'!J16,"")</f>
        <v/>
      </c>
      <c r="L27" s="50" t="str">
        <f>IFERROR('Vishal Nayak'!J17,"")</f>
        <v/>
      </c>
      <c r="M27" s="50" t="str">
        <f>IFERROR('Vishal Nayak'!J18,"")</f>
        <v/>
      </c>
      <c r="N27" s="50" t="str">
        <f>IFERROR('Vishal Nayak'!J19,"")</f>
        <v/>
      </c>
      <c r="O27" s="50" t="str">
        <f>IFERROR('Vishal Nayak'!J20,"")</f>
        <v/>
      </c>
      <c r="P27" s="50" t="str">
        <f>IFERROR('Vishal Nayak'!J21,"")</f>
        <v/>
      </c>
      <c r="Q27" s="50" t="str">
        <f>IFERROR('Vishal Nayak'!J22,"")</f>
        <v/>
      </c>
      <c r="R27" s="50" t="str">
        <f>IFERROR('Vishal Nayak'!J23,"")</f>
        <v/>
      </c>
      <c r="S27" s="50" t="str">
        <f>IFERROR('Vishal Nayak'!J24,"")</f>
        <v/>
      </c>
      <c r="T27" s="50" t="str">
        <f>IFERROR('Vishal Nayak'!J25,"")</f>
        <v/>
      </c>
      <c r="U27" s="50" t="str">
        <f>IFERROR('Vishal Nayak'!J26,"")</f>
        <v/>
      </c>
      <c r="V27" s="50" t="str">
        <f>IFERROR('Vishal Nayak'!J27,"")</f>
        <v/>
      </c>
      <c r="W27" s="50" t="str">
        <f>IFERROR('Vishal Nayak'!J28,"")</f>
        <v/>
      </c>
      <c r="X27" s="50" t="str">
        <f>IFERROR('Vishal Nayak'!J29,"")</f>
        <v/>
      </c>
      <c r="Y27" s="50" t="str">
        <f>IFERROR('Vishal Nayak'!J30,"")</f>
        <v/>
      </c>
      <c r="Z27" s="50" t="str">
        <f>IFERROR('Vishal Nayak'!J31,"")</f>
        <v/>
      </c>
      <c r="AA27" s="50" t="str">
        <f>IFERROR('Vishal Nayak'!J32,"")</f>
        <v/>
      </c>
      <c r="AB27" s="105" t="str">
        <f>IFERROR('Vishal Nayak'!H33,"")</f>
        <v/>
      </c>
      <c r="AC27" s="106">
        <f>IFERROR('Vishal Nayak'!I33,"")</f>
        <v>0</v>
      </c>
      <c r="AD27" s="107">
        <f>IFERROR('Vishal Nayak'!J33,"")</f>
        <v>0</v>
      </c>
    </row>
    <row r="28" spans="2:30" ht="19.5" customHeight="1" x14ac:dyDescent="0.35">
      <c r="B28" s="102" t="s">
        <v>66</v>
      </c>
      <c r="C28" s="102" t="s">
        <v>67</v>
      </c>
      <c r="D28" s="112" t="s">
        <v>63</v>
      </c>
      <c r="E28" s="113" t="s">
        <v>26</v>
      </c>
      <c r="F28" s="104" t="str">
        <f>IFERROR('Franky Chan'!J11,"")</f>
        <v/>
      </c>
      <c r="G28" s="104" t="str">
        <f>IFERROR('Franky Chan'!J12,"")</f>
        <v/>
      </c>
      <c r="H28" s="104" t="str">
        <f>IFERROR('Franky Chan'!J13,"")</f>
        <v/>
      </c>
      <c r="I28" s="104" t="str">
        <f>IFERROR('Franky Chan'!J14,"")</f>
        <v/>
      </c>
      <c r="J28" s="104" t="str">
        <f>IFERROR('Franky Chan'!J15,"")</f>
        <v/>
      </c>
      <c r="K28" s="104" t="str">
        <f>IFERROR('Franky Chan'!J16,"")</f>
        <v/>
      </c>
      <c r="L28" s="104" t="str">
        <f>IFERROR('Franky Chan'!J17,"")</f>
        <v/>
      </c>
      <c r="M28" s="104" t="str">
        <f>IFERROR('Franky Chan'!J18,"")</f>
        <v/>
      </c>
      <c r="N28" s="104" t="str">
        <f>IFERROR('Franky Chan'!J19,"")</f>
        <v/>
      </c>
      <c r="O28" s="104" t="str">
        <f>IFERROR('Franky Chan'!J20,"")</f>
        <v/>
      </c>
      <c r="P28" s="104" t="str">
        <f>IFERROR('Franky Chan'!J21,"")</f>
        <v/>
      </c>
      <c r="Q28" s="104" t="str">
        <f>IFERROR('Franky Chan'!J22,"")</f>
        <v/>
      </c>
      <c r="R28" s="104" t="str">
        <f>IFERROR('Franky Chan'!J23,"")</f>
        <v/>
      </c>
      <c r="S28" s="104" t="str">
        <f>IFERROR('Franky Chan'!J24,"")</f>
        <v/>
      </c>
      <c r="T28" s="104" t="str">
        <f>IFERROR('Franky Chan'!J25,"")</f>
        <v/>
      </c>
      <c r="U28" s="104" t="str">
        <f>IFERROR('Franky Chan'!J26,"")</f>
        <v/>
      </c>
      <c r="V28" s="104" t="str">
        <f>IFERROR('Franky Chan'!J27,"")</f>
        <v/>
      </c>
      <c r="W28" s="104" t="str">
        <f>IFERROR('Franky Chan'!J28,"")</f>
        <v/>
      </c>
      <c r="X28" s="104" t="str">
        <f>IFERROR('Franky Chan'!J29,"")</f>
        <v/>
      </c>
      <c r="Y28" s="104" t="str">
        <f>IFERROR('Franky Chan'!J30,"")</f>
        <v/>
      </c>
      <c r="Z28" s="104" t="str">
        <f>IFERROR('Franky Chan'!J31,"")</f>
        <v/>
      </c>
      <c r="AA28" s="104" t="str">
        <f>IFERROR('Franky Chan'!J32,"")</f>
        <v/>
      </c>
      <c r="AB28" s="105" t="str">
        <f>IFERROR('Franky Chan'!H33,"")</f>
        <v/>
      </c>
      <c r="AC28" s="106">
        <f>IFERROR('Franky Chan'!I33,"")</f>
        <v>0</v>
      </c>
      <c r="AD28" s="107">
        <f>IFERROR('Franky Chan'!J33,"")</f>
        <v>0</v>
      </c>
    </row>
    <row r="29" spans="2:30" ht="19.5" customHeight="1" x14ac:dyDescent="0.35">
      <c r="B29" s="108" t="s">
        <v>68</v>
      </c>
      <c r="C29" s="108" t="s">
        <v>69</v>
      </c>
      <c r="D29" s="112" t="s">
        <v>63</v>
      </c>
      <c r="E29" s="113" t="s">
        <v>23</v>
      </c>
      <c r="F29" s="50" t="str">
        <f>IFERROR('AM22'!J11,"")</f>
        <v/>
      </c>
      <c r="G29" s="50" t="str">
        <f>IFERROR('AM22'!J12,"")</f>
        <v/>
      </c>
      <c r="H29" s="50" t="str">
        <f>IFERROR('AM22'!J13,"")</f>
        <v/>
      </c>
      <c r="I29" s="50" t="str">
        <f>IFERROR('AM22'!J14,"")</f>
        <v/>
      </c>
      <c r="J29" s="50" t="str">
        <f>IFERROR('AM22'!J15,"")</f>
        <v/>
      </c>
      <c r="K29" s="50" t="str">
        <f>IFERROR('AM22'!J16,"")</f>
        <v/>
      </c>
      <c r="L29" s="50" t="str">
        <f>IFERROR('AM22'!J17,"")</f>
        <v/>
      </c>
      <c r="M29" s="50" t="str">
        <f>IFERROR('AM22'!J18,"")</f>
        <v/>
      </c>
      <c r="N29" s="50" t="str">
        <f>IFERROR('AM22'!J19,"")</f>
        <v/>
      </c>
      <c r="O29" s="50" t="str">
        <f>IFERROR('AM22'!J20,"")</f>
        <v/>
      </c>
      <c r="P29" s="50" t="str">
        <f>IFERROR('AM22'!J21,"")</f>
        <v/>
      </c>
      <c r="Q29" s="50" t="str">
        <f>IFERROR('AM22'!J22,"")</f>
        <v/>
      </c>
      <c r="R29" s="50" t="str">
        <f>IFERROR('AM22'!J23,"")</f>
        <v/>
      </c>
      <c r="S29" s="50" t="str">
        <f>IFERROR('AM22'!J24,"")</f>
        <v/>
      </c>
      <c r="T29" s="50" t="str">
        <f>IFERROR('AM22'!J25,"")</f>
        <v/>
      </c>
      <c r="U29" s="50" t="str">
        <f>IFERROR('AM22'!J26,"")</f>
        <v/>
      </c>
      <c r="V29" s="50" t="str">
        <f>IFERROR('AM22'!J27,"")</f>
        <v/>
      </c>
      <c r="W29" s="50" t="str">
        <f>IFERROR('AM22'!J28,"")</f>
        <v/>
      </c>
      <c r="X29" s="50" t="str">
        <f>IFERROR('AM22'!J29,"")</f>
        <v/>
      </c>
      <c r="Y29" s="50" t="str">
        <f>IFERROR('AM22'!J30,"")</f>
        <v/>
      </c>
      <c r="Z29" s="50" t="str">
        <f>IFERROR('AM22'!J31,"")</f>
        <v/>
      </c>
      <c r="AA29" s="50" t="str">
        <f>IFERROR('AM22'!J32,"")</f>
        <v/>
      </c>
      <c r="AB29" s="105" t="str">
        <f>IFERROR('AM22'!H33,"")</f>
        <v/>
      </c>
      <c r="AC29" s="106">
        <f>IFERROR('AM22'!I33,"")</f>
        <v>0</v>
      </c>
      <c r="AD29" s="107">
        <f>IFERROR('AM22'!J33,"")</f>
        <v>0</v>
      </c>
    </row>
    <row r="30" spans="2:30" ht="19.5" customHeight="1" x14ac:dyDescent="0.35">
      <c r="B30" s="102" t="s">
        <v>70</v>
      </c>
      <c r="C30" s="102" t="s">
        <v>71</v>
      </c>
      <c r="D30" s="112" t="s">
        <v>63</v>
      </c>
      <c r="E30" s="113" t="s">
        <v>26</v>
      </c>
      <c r="F30" s="104" t="str">
        <f>IFERROR('AM23'!J11,"")</f>
        <v/>
      </c>
      <c r="G30" s="104" t="str">
        <f>IFERROR('AM23'!J12,"")</f>
        <v/>
      </c>
      <c r="H30" s="104" t="str">
        <f>IFERROR('AM23'!J13,"")</f>
        <v/>
      </c>
      <c r="I30" s="104" t="str">
        <f>IFERROR('AM23'!J14,"")</f>
        <v/>
      </c>
      <c r="J30" s="104" t="str">
        <f>IFERROR('AM23'!J15,"")</f>
        <v/>
      </c>
      <c r="K30" s="104" t="str">
        <f>IFERROR('AM23'!J16,"")</f>
        <v/>
      </c>
      <c r="L30" s="104" t="str">
        <f>IFERROR('AM23'!J17,"")</f>
        <v/>
      </c>
      <c r="M30" s="104" t="str">
        <f>IFERROR('AM23'!J18,"")</f>
        <v/>
      </c>
      <c r="N30" s="104" t="str">
        <f>IFERROR('AM23'!J19,"")</f>
        <v/>
      </c>
      <c r="O30" s="104" t="str">
        <f>IFERROR('AM23'!J20,"")</f>
        <v/>
      </c>
      <c r="P30" s="104" t="str">
        <f>IFERROR('AM23'!J21,"")</f>
        <v/>
      </c>
      <c r="Q30" s="104" t="str">
        <f>IFERROR('AM23'!J22,"")</f>
        <v/>
      </c>
      <c r="R30" s="104" t="str">
        <f>IFERROR('AM23'!J23,"")</f>
        <v/>
      </c>
      <c r="S30" s="104" t="str">
        <f>IFERROR('AM23'!J24,"")</f>
        <v/>
      </c>
      <c r="T30" s="104" t="str">
        <f>IFERROR('AM23'!J25,"")</f>
        <v/>
      </c>
      <c r="U30" s="104" t="str">
        <f>IFERROR('AM23'!J26,"")</f>
        <v/>
      </c>
      <c r="V30" s="104" t="str">
        <f>IFERROR('AM23'!J27,"")</f>
        <v/>
      </c>
      <c r="W30" s="104" t="str">
        <f>IFERROR('AM23'!J28,"")</f>
        <v/>
      </c>
      <c r="X30" s="104" t="str">
        <f>IFERROR('AM23'!J29,"")</f>
        <v/>
      </c>
      <c r="Y30" s="104" t="str">
        <f>IFERROR('AM23'!J30,"")</f>
        <v/>
      </c>
      <c r="Z30" s="104" t="str">
        <f>IFERROR('AM23'!J31,"")</f>
        <v/>
      </c>
      <c r="AA30" s="104" t="str">
        <f>IFERROR('AM23'!J32,"")</f>
        <v/>
      </c>
      <c r="AB30" s="105" t="str">
        <f>IFERROR('AM23'!H33,"")</f>
        <v/>
      </c>
      <c r="AC30" s="106">
        <f>IFERROR('AM23'!I33,"")</f>
        <v>0</v>
      </c>
      <c r="AD30" s="107">
        <f>IFERROR('AM23'!J33,"")</f>
        <v>0</v>
      </c>
    </row>
    <row r="31" spans="2:30" ht="19.5" customHeight="1" x14ac:dyDescent="0.35">
      <c r="B31" s="108" t="s">
        <v>72</v>
      </c>
      <c r="C31" s="108" t="s">
        <v>73</v>
      </c>
      <c r="D31" s="112" t="s">
        <v>63</v>
      </c>
      <c r="E31" s="113" t="s">
        <v>23</v>
      </c>
      <c r="F31" s="50" t="str">
        <f>IFERROR('AM24'!J11,"")</f>
        <v/>
      </c>
      <c r="G31" s="50" t="str">
        <f>IFERROR('AM24'!J12,"")</f>
        <v/>
      </c>
      <c r="H31" s="50" t="str">
        <f>IFERROR('AM24'!J13,"")</f>
        <v/>
      </c>
      <c r="I31" s="50" t="str">
        <f>IFERROR('AM24'!J14,"")</f>
        <v/>
      </c>
      <c r="J31" s="50" t="str">
        <f>IFERROR('AM24'!J15,"")</f>
        <v/>
      </c>
      <c r="K31" s="50" t="str">
        <f>IFERROR('AM24'!J16,"")</f>
        <v/>
      </c>
      <c r="L31" s="50" t="str">
        <f>IFERROR('AM24'!J17,"")</f>
        <v/>
      </c>
      <c r="M31" s="50" t="str">
        <f>IFERROR('AM24'!J18,"")</f>
        <v/>
      </c>
      <c r="N31" s="50" t="str">
        <f>IFERROR('AM24'!J19,"")</f>
        <v/>
      </c>
      <c r="O31" s="50" t="str">
        <f>IFERROR('AM24'!J20,"")</f>
        <v/>
      </c>
      <c r="P31" s="50" t="str">
        <f>IFERROR('AM24'!J21,"")</f>
        <v/>
      </c>
      <c r="Q31" s="50" t="str">
        <f>IFERROR('AM24'!J22,"")</f>
        <v/>
      </c>
      <c r="R31" s="50" t="str">
        <f>IFERROR('AM24'!J23,"")</f>
        <v/>
      </c>
      <c r="S31" s="50" t="str">
        <f>IFERROR('AM24'!J24,"")</f>
        <v/>
      </c>
      <c r="T31" s="50" t="str">
        <f>IFERROR('AM24'!J25,"")</f>
        <v/>
      </c>
      <c r="U31" s="50" t="str">
        <f>IFERROR('AM24'!J26,"")</f>
        <v/>
      </c>
      <c r="V31" s="50" t="str">
        <f>IFERROR('AM24'!J27,"")</f>
        <v/>
      </c>
      <c r="W31" s="50" t="str">
        <f>IFERROR('AM24'!J28,"")</f>
        <v/>
      </c>
      <c r="X31" s="50" t="str">
        <f>IFERROR('AM24'!J29,"")</f>
        <v/>
      </c>
      <c r="Y31" s="50" t="str">
        <f>IFERROR('AM24'!J30,"")</f>
        <v/>
      </c>
      <c r="Z31" s="50" t="str">
        <f>IFERROR('AM24'!J31,"")</f>
        <v/>
      </c>
      <c r="AA31" s="50" t="str">
        <f>IFERROR('AM24'!J32,"")</f>
        <v/>
      </c>
      <c r="AB31" s="105" t="str">
        <f>IFERROR('AM24'!H33,"")</f>
        <v/>
      </c>
      <c r="AC31" s="106">
        <f>IFERROR('AM24'!I33,"")</f>
        <v>0</v>
      </c>
      <c r="AD31" s="107">
        <f>IFERROR('AM24'!J33,"")</f>
        <v>0</v>
      </c>
    </row>
    <row r="32" spans="2:30" ht="19.5" customHeight="1" x14ac:dyDescent="0.35">
      <c r="B32" s="102" t="s">
        <v>74</v>
      </c>
      <c r="C32" s="102" t="s">
        <v>75</v>
      </c>
      <c r="D32" s="112" t="s">
        <v>63</v>
      </c>
      <c r="E32" s="113" t="s">
        <v>23</v>
      </c>
      <c r="F32" s="104" t="str">
        <f>IFERROR('AM25'!J11,"")</f>
        <v/>
      </c>
      <c r="G32" s="104" t="str">
        <f>IFERROR('AM25'!J12,"")</f>
        <v/>
      </c>
      <c r="H32" s="104" t="str">
        <f>IFERROR('AM25'!J13,"")</f>
        <v/>
      </c>
      <c r="I32" s="104" t="str">
        <f>IFERROR('AM25'!J14,"")</f>
        <v/>
      </c>
      <c r="J32" s="104" t="str">
        <f>IFERROR('AM25'!J15,"")</f>
        <v/>
      </c>
      <c r="K32" s="104" t="str">
        <f>IFERROR('AM25'!J16,"")</f>
        <v/>
      </c>
      <c r="L32" s="104" t="str">
        <f>IFERROR('AM25'!J17,"")</f>
        <v/>
      </c>
      <c r="M32" s="104" t="str">
        <f>IFERROR('AM25'!J18,"")</f>
        <v/>
      </c>
      <c r="N32" s="104" t="str">
        <f>IFERROR('AM25'!J19,"")</f>
        <v/>
      </c>
      <c r="O32" s="104" t="str">
        <f>IFERROR('AM25'!J20,"")</f>
        <v/>
      </c>
      <c r="P32" s="104" t="str">
        <f>IFERROR('AM25'!J21,"")</f>
        <v/>
      </c>
      <c r="Q32" s="104" t="str">
        <f>IFERROR('AM25'!J22,"")</f>
        <v/>
      </c>
      <c r="R32" s="104" t="str">
        <f>IFERROR('AM25'!J23,"")</f>
        <v/>
      </c>
      <c r="S32" s="104" t="str">
        <f>IFERROR('AM25'!J24,"")</f>
        <v/>
      </c>
      <c r="T32" s="104" t="str">
        <f>IFERROR('AM25'!J25,"")</f>
        <v/>
      </c>
      <c r="U32" s="104" t="str">
        <f>IFERROR('AM25'!J26,"")</f>
        <v/>
      </c>
      <c r="V32" s="104" t="str">
        <f>IFERROR('AM25'!J27,"")</f>
        <v/>
      </c>
      <c r="W32" s="104" t="str">
        <f>IFERROR('AM25'!J28,"")</f>
        <v/>
      </c>
      <c r="X32" s="104" t="str">
        <f>IFERROR('AM25'!J29,"")</f>
        <v/>
      </c>
      <c r="Y32" s="104" t="str">
        <f>IFERROR('AM25'!J30,"")</f>
        <v/>
      </c>
      <c r="Z32" s="104" t="str">
        <f>IFERROR('AM25'!J31,"")</f>
        <v/>
      </c>
      <c r="AA32" s="104" t="str">
        <f>IFERROR('AM25'!J32,"")</f>
        <v/>
      </c>
      <c r="AB32" s="105" t="str">
        <f>IFERROR('AM25'!H33,"")</f>
        <v/>
      </c>
      <c r="AC32" s="106">
        <f>IFERROR('AM25'!I33,"")</f>
        <v>0</v>
      </c>
      <c r="AD32" s="107">
        <f>IFERROR('AM25'!J33,"")</f>
        <v>0</v>
      </c>
    </row>
    <row r="34" spans="2:27" ht="21.75" customHeight="1" x14ac:dyDescent="0.35">
      <c r="B34" s="168" t="s">
        <v>302</v>
      </c>
      <c r="C34" s="168"/>
      <c r="D34" s="168"/>
      <c r="E34" s="168"/>
      <c r="F34" s="114" t="str">
        <f t="shared" ref="F34:AA34" si="0">IFERROR(AVERAGE(F8,F9,F10,F11,F12,F13),"")</f>
        <v/>
      </c>
      <c r="G34" s="114" t="str">
        <f t="shared" si="0"/>
        <v/>
      </c>
      <c r="H34" s="114" t="str">
        <f t="shared" si="0"/>
        <v/>
      </c>
      <c r="I34" s="114" t="str">
        <f t="shared" si="0"/>
        <v/>
      </c>
      <c r="J34" s="114" t="str">
        <f t="shared" si="0"/>
        <v/>
      </c>
      <c r="K34" s="114" t="str">
        <f t="shared" si="0"/>
        <v/>
      </c>
      <c r="L34" s="114" t="str">
        <f t="shared" si="0"/>
        <v/>
      </c>
      <c r="M34" s="114" t="str">
        <f t="shared" si="0"/>
        <v/>
      </c>
      <c r="N34" s="114" t="str">
        <f t="shared" si="0"/>
        <v/>
      </c>
      <c r="O34" s="114" t="str">
        <f t="shared" si="0"/>
        <v/>
      </c>
      <c r="P34" s="114" t="str">
        <f t="shared" si="0"/>
        <v/>
      </c>
      <c r="Q34" s="114" t="str">
        <f t="shared" si="0"/>
        <v/>
      </c>
      <c r="R34" s="114" t="str">
        <f t="shared" si="0"/>
        <v/>
      </c>
      <c r="S34" s="114" t="str">
        <f t="shared" si="0"/>
        <v/>
      </c>
      <c r="T34" s="114" t="str">
        <f t="shared" si="0"/>
        <v/>
      </c>
      <c r="U34" s="114" t="str">
        <f t="shared" si="0"/>
        <v/>
      </c>
      <c r="V34" s="114" t="str">
        <f t="shared" si="0"/>
        <v/>
      </c>
      <c r="W34" s="114" t="str">
        <f t="shared" si="0"/>
        <v/>
      </c>
      <c r="X34" s="114" t="str">
        <f t="shared" si="0"/>
        <v/>
      </c>
      <c r="Y34" s="114" t="str">
        <f t="shared" si="0"/>
        <v/>
      </c>
      <c r="Z34" s="114" t="str">
        <f t="shared" si="0"/>
        <v/>
      </c>
      <c r="AA34" s="114" t="str">
        <f t="shared" si="0"/>
        <v/>
      </c>
    </row>
    <row r="35" spans="2:27" ht="21.75" customHeight="1" x14ac:dyDescent="0.35">
      <c r="B35" s="165" t="s">
        <v>303</v>
      </c>
      <c r="C35" s="165"/>
      <c r="D35" s="165"/>
      <c r="E35" s="165"/>
      <c r="F35" s="115" t="str">
        <f t="shared" ref="F35:AA35" si="1">IFERROR(AVERAGE(F14,F15,F16,F17,F18,F19),"")</f>
        <v/>
      </c>
      <c r="G35" s="115" t="str">
        <f t="shared" si="1"/>
        <v/>
      </c>
      <c r="H35" s="115" t="str">
        <f t="shared" si="1"/>
        <v/>
      </c>
      <c r="I35" s="115" t="str">
        <f t="shared" si="1"/>
        <v/>
      </c>
      <c r="J35" s="115" t="str">
        <f t="shared" si="1"/>
        <v/>
      </c>
      <c r="K35" s="115" t="str">
        <f t="shared" si="1"/>
        <v/>
      </c>
      <c r="L35" s="115" t="str">
        <f t="shared" si="1"/>
        <v/>
      </c>
      <c r="M35" s="115" t="str">
        <f t="shared" si="1"/>
        <v/>
      </c>
      <c r="N35" s="115" t="str">
        <f t="shared" si="1"/>
        <v/>
      </c>
      <c r="O35" s="115" t="str">
        <f t="shared" si="1"/>
        <v/>
      </c>
      <c r="P35" s="115" t="str">
        <f t="shared" si="1"/>
        <v/>
      </c>
      <c r="Q35" s="115" t="str">
        <f t="shared" si="1"/>
        <v/>
      </c>
      <c r="R35" s="115" t="str">
        <f t="shared" si="1"/>
        <v/>
      </c>
      <c r="S35" s="115" t="str">
        <f t="shared" si="1"/>
        <v/>
      </c>
      <c r="T35" s="115" t="str">
        <f t="shared" si="1"/>
        <v/>
      </c>
      <c r="U35" s="115" t="str">
        <f t="shared" si="1"/>
        <v/>
      </c>
      <c r="V35" s="115" t="str">
        <f t="shared" si="1"/>
        <v/>
      </c>
      <c r="W35" s="115" t="str">
        <f t="shared" si="1"/>
        <v/>
      </c>
      <c r="X35" s="115" t="str">
        <f t="shared" si="1"/>
        <v/>
      </c>
      <c r="Y35" s="115" t="str">
        <f t="shared" si="1"/>
        <v/>
      </c>
      <c r="Z35" s="115" t="str">
        <f t="shared" si="1"/>
        <v/>
      </c>
      <c r="AA35" s="115" t="str">
        <f t="shared" si="1"/>
        <v/>
      </c>
    </row>
    <row r="36" spans="2:27" ht="21.75" customHeight="1" x14ac:dyDescent="0.35">
      <c r="B36" s="166" t="s">
        <v>304</v>
      </c>
      <c r="C36" s="166"/>
      <c r="D36" s="166"/>
      <c r="E36" s="166"/>
      <c r="F36" s="116" t="str">
        <f t="shared" ref="F36:AA36" si="2">IFERROR(AVERAGE(F20,F21,F22,F23,F24,F25),"")</f>
        <v/>
      </c>
      <c r="G36" s="116" t="str">
        <f t="shared" si="2"/>
        <v/>
      </c>
      <c r="H36" s="116" t="str">
        <f t="shared" si="2"/>
        <v/>
      </c>
      <c r="I36" s="116" t="str">
        <f t="shared" si="2"/>
        <v/>
      </c>
      <c r="J36" s="116" t="str">
        <f t="shared" si="2"/>
        <v/>
      </c>
      <c r="K36" s="116" t="str">
        <f t="shared" si="2"/>
        <v/>
      </c>
      <c r="L36" s="116" t="str">
        <f t="shared" si="2"/>
        <v/>
      </c>
      <c r="M36" s="116" t="str">
        <f t="shared" si="2"/>
        <v/>
      </c>
      <c r="N36" s="116" t="str">
        <f t="shared" si="2"/>
        <v/>
      </c>
      <c r="O36" s="116" t="str">
        <f t="shared" si="2"/>
        <v/>
      </c>
      <c r="P36" s="116" t="str">
        <f t="shared" si="2"/>
        <v/>
      </c>
      <c r="Q36" s="116" t="str">
        <f t="shared" si="2"/>
        <v/>
      </c>
      <c r="R36" s="116" t="str">
        <f t="shared" si="2"/>
        <v/>
      </c>
      <c r="S36" s="116" t="str">
        <f t="shared" si="2"/>
        <v/>
      </c>
      <c r="T36" s="116" t="str">
        <f t="shared" si="2"/>
        <v/>
      </c>
      <c r="U36" s="116" t="str">
        <f t="shared" si="2"/>
        <v/>
      </c>
      <c r="V36" s="116" t="str">
        <f t="shared" si="2"/>
        <v/>
      </c>
      <c r="W36" s="116" t="str">
        <f t="shared" si="2"/>
        <v/>
      </c>
      <c r="X36" s="116" t="str">
        <f t="shared" si="2"/>
        <v/>
      </c>
      <c r="Y36" s="116" t="str">
        <f t="shared" si="2"/>
        <v/>
      </c>
      <c r="Z36" s="116" t="str">
        <f t="shared" si="2"/>
        <v/>
      </c>
      <c r="AA36" s="116" t="str">
        <f t="shared" si="2"/>
        <v/>
      </c>
    </row>
    <row r="37" spans="2:27" ht="21.75" customHeight="1" x14ac:dyDescent="0.35">
      <c r="B37" s="167" t="s">
        <v>305</v>
      </c>
      <c r="C37" s="167"/>
      <c r="D37" s="167"/>
      <c r="E37" s="167"/>
      <c r="F37" s="117" t="str">
        <f t="shared" ref="F37:AA37" si="3">IFERROR(AVERAGE(F26,F27,F28,F29,F30,F31,F32),"")</f>
        <v/>
      </c>
      <c r="G37" s="117" t="str">
        <f t="shared" si="3"/>
        <v/>
      </c>
      <c r="H37" s="117" t="str">
        <f t="shared" si="3"/>
        <v/>
      </c>
      <c r="I37" s="117" t="str">
        <f t="shared" si="3"/>
        <v/>
      </c>
      <c r="J37" s="117" t="str">
        <f t="shared" si="3"/>
        <v/>
      </c>
      <c r="K37" s="117" t="str">
        <f t="shared" si="3"/>
        <v/>
      </c>
      <c r="L37" s="117" t="str">
        <f t="shared" si="3"/>
        <v/>
      </c>
      <c r="M37" s="117" t="str">
        <f t="shared" si="3"/>
        <v/>
      </c>
      <c r="N37" s="117" t="str">
        <f t="shared" si="3"/>
        <v/>
      </c>
      <c r="O37" s="117" t="str">
        <f t="shared" si="3"/>
        <v/>
      </c>
      <c r="P37" s="117" t="str">
        <f t="shared" si="3"/>
        <v/>
      </c>
      <c r="Q37" s="117" t="str">
        <f t="shared" si="3"/>
        <v/>
      </c>
      <c r="R37" s="117" t="str">
        <f t="shared" si="3"/>
        <v/>
      </c>
      <c r="S37" s="117" t="str">
        <f t="shared" si="3"/>
        <v/>
      </c>
      <c r="T37" s="117" t="str">
        <f t="shared" si="3"/>
        <v/>
      </c>
      <c r="U37" s="117" t="str">
        <f t="shared" si="3"/>
        <v/>
      </c>
      <c r="V37" s="117" t="str">
        <f t="shared" si="3"/>
        <v/>
      </c>
      <c r="W37" s="117" t="str">
        <f t="shared" si="3"/>
        <v/>
      </c>
      <c r="X37" s="117" t="str">
        <f t="shared" si="3"/>
        <v/>
      </c>
      <c r="Y37" s="117" t="str">
        <f t="shared" si="3"/>
        <v/>
      </c>
      <c r="Z37" s="117" t="str">
        <f t="shared" si="3"/>
        <v/>
      </c>
      <c r="AA37" s="117" t="str">
        <f t="shared" si="3"/>
        <v/>
      </c>
    </row>
  </sheetData>
  <mergeCells count="8">
    <mergeCell ref="B35:E35"/>
    <mergeCell ref="B36:E36"/>
    <mergeCell ref="B37:E37"/>
    <mergeCell ref="B2:C4"/>
    <mergeCell ref="D2:Z2"/>
    <mergeCell ref="D3:Z4"/>
    <mergeCell ref="B5:Z5"/>
    <mergeCell ref="B34:E34"/>
  </mergeCells>
  <conditionalFormatting sqref="F8:AA32">
    <cfRule type="cellIs" dxfId="14" priority="2" operator="equal">
      <formula>1</formula>
    </cfRule>
    <cfRule type="cellIs" dxfId="13" priority="3" operator="equal">
      <formula>2</formula>
    </cfRule>
    <cfRule type="cellIs" dxfId="12" priority="4" operator="equal">
      <formula>3</formula>
    </cfRule>
  </conditionalFormatting>
  <conditionalFormatting sqref="AB8:AB32">
    <cfRule type="colorScale" priority="5">
      <colorScale>
        <cfvo type="num" val="1"/>
        <cfvo type="num" val="2"/>
        <cfvo type="num" val="3"/>
        <color rgb="FFFAD4D7"/>
        <color rgb="FFD6EAFF"/>
        <color rgb="FFC5EDD1"/>
      </colorScale>
    </cfRule>
  </conditionalFormatting>
  <conditionalFormatting sqref="AC8:AC32">
    <cfRule type="colorScale" priority="6">
      <colorScale>
        <cfvo type="num" val="1"/>
        <cfvo type="num" val="2"/>
        <cfvo type="num" val="3"/>
        <color rgb="FFFAD4D7"/>
        <color rgb="FFD6EAFF"/>
        <color rgb="FFC5EDD1"/>
      </colorScale>
    </cfRule>
  </conditionalFormatting>
  <conditionalFormatting sqref="AD8:AD32">
    <cfRule type="colorScale" priority="7">
      <colorScale>
        <cfvo type="num" val="1"/>
        <cfvo type="num" val="2"/>
        <cfvo type="num" val="3"/>
        <color rgb="FFFAD4D7"/>
        <color rgb="FFD6EAFF"/>
        <color rgb="FFC5EDD1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F62FE"/>
  </sheetPr>
  <dimension ref="A1:AH30"/>
  <sheetViews>
    <sheetView showGridLines="0" showRowColHeader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54296875" defaultRowHeight="14.5" x14ac:dyDescent="0.35"/>
  <cols>
    <col min="1" max="1" width="1.54296875" customWidth="1"/>
    <col min="2" max="2" width="26" customWidth="1"/>
    <col min="3" max="4" width="6" customWidth="1"/>
    <col min="5" max="10" width="11" customWidth="1"/>
    <col min="11" max="11" width="10" customWidth="1"/>
    <col min="12" max="12" width="1.54296875" customWidth="1"/>
    <col min="13" max="15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306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307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7.5" customHeight="1" x14ac:dyDescent="0.35">
      <c r="B7" s="118" t="s">
        <v>78</v>
      </c>
      <c r="C7" s="118" t="s">
        <v>80</v>
      </c>
      <c r="D7" s="118" t="s">
        <v>308</v>
      </c>
      <c r="E7" s="95" t="s">
        <v>309</v>
      </c>
      <c r="F7" s="95" t="s">
        <v>310</v>
      </c>
      <c r="G7" s="95" t="s">
        <v>311</v>
      </c>
      <c r="H7" s="95" t="s">
        <v>312</v>
      </c>
      <c r="I7" s="95" t="s">
        <v>313</v>
      </c>
      <c r="J7" s="95" t="s">
        <v>314</v>
      </c>
      <c r="K7" s="119" t="s">
        <v>315</v>
      </c>
      <c r="M7" s="45" t="s">
        <v>78</v>
      </c>
      <c r="N7" s="45" t="s">
        <v>316</v>
      </c>
      <c r="O7" s="45" t="s">
        <v>206</v>
      </c>
    </row>
    <row r="8" spans="1:34" ht="25.5" customHeight="1" x14ac:dyDescent="0.35">
      <c r="B8" s="5" t="s">
        <v>207</v>
      </c>
      <c r="C8" s="4" t="s">
        <v>0</v>
      </c>
      <c r="D8" s="4" t="s">
        <v>88</v>
      </c>
      <c r="E8" s="120" t="str">
        <f>IFERROR('Employee 1'!J11,"")</f>
        <v/>
      </c>
      <c r="F8" s="120" t="str">
        <f>IFERROR('Mohamed MARZOUK'!J11,"")</f>
        <v/>
      </c>
      <c r="G8" s="120" t="str">
        <f>IFERROR('Basim El-Subihy'!J11,"")</f>
        <v/>
      </c>
      <c r="H8" s="120" t="str">
        <f>IFERROR('Biju Mathew'!J11,"")</f>
        <v/>
      </c>
      <c r="I8" s="120" t="str">
        <f>IFERROR('Oseid Mohamemed Faqih'!J11,"")</f>
        <v/>
      </c>
      <c r="J8" s="120" t="str">
        <f>IFERROR('Kamel Bedrane'!J11,"")</f>
        <v/>
      </c>
      <c r="K8" s="121" t="str">
        <f t="shared" ref="K8:K29" si="0">IFERROR(AVERAGE(E8,F8,G8,H8,I8,J8),"")</f>
        <v/>
      </c>
      <c r="M8" s="122" t="s">
        <v>208</v>
      </c>
      <c r="N8" s="122" t="str">
        <f t="shared" ref="N8:N29" si="1">K8</f>
        <v/>
      </c>
      <c r="O8" s="122">
        <v>2</v>
      </c>
    </row>
    <row r="9" spans="1:34" ht="25.5" customHeight="1" x14ac:dyDescent="0.35">
      <c r="B9" s="53" t="s">
        <v>209</v>
      </c>
      <c r="C9" s="54" t="s">
        <v>93</v>
      </c>
      <c r="D9" s="55" t="s">
        <v>94</v>
      </c>
      <c r="E9" s="123" t="str">
        <f>IFERROR('Employee 1'!J12,"")</f>
        <v/>
      </c>
      <c r="F9" s="123" t="str">
        <f>IFERROR('Mohamed MARZOUK'!J12,"")</f>
        <v/>
      </c>
      <c r="G9" s="123" t="str">
        <f>IFERROR('Basim El-Subihy'!J12,"")</f>
        <v/>
      </c>
      <c r="H9" s="123" t="str">
        <f>IFERROR('Biju Mathew'!J12,"")</f>
        <v/>
      </c>
      <c r="I9" s="123" t="str">
        <f>IFERROR('Oseid Mohamemed Faqih'!J12,"")</f>
        <v/>
      </c>
      <c r="J9" s="123" t="str">
        <f>IFERROR('Kamel Bedrane'!J12,"")</f>
        <v/>
      </c>
      <c r="K9" s="121" t="str">
        <f t="shared" si="0"/>
        <v/>
      </c>
      <c r="M9" s="122" t="s">
        <v>210</v>
      </c>
      <c r="N9" s="122" t="str">
        <f t="shared" si="1"/>
        <v/>
      </c>
      <c r="O9" s="122">
        <v>2</v>
      </c>
    </row>
    <row r="10" spans="1:34" ht="25.5" customHeight="1" x14ac:dyDescent="0.35">
      <c r="B10" s="12" t="s">
        <v>211</v>
      </c>
      <c r="C10" s="61" t="s">
        <v>0</v>
      </c>
      <c r="D10" s="57" t="s">
        <v>94</v>
      </c>
      <c r="E10" s="124" t="str">
        <f>IFERROR('Employee 1'!J13,"")</f>
        <v/>
      </c>
      <c r="F10" s="124" t="str">
        <f>IFERROR('Mohamed MARZOUK'!J13,"")</f>
        <v/>
      </c>
      <c r="G10" s="124" t="str">
        <f>IFERROR('Basim El-Subihy'!J13,"")</f>
        <v/>
      </c>
      <c r="H10" s="124" t="str">
        <f>IFERROR('Biju Mathew'!J13,"")</f>
        <v/>
      </c>
      <c r="I10" s="124" t="str">
        <f>IFERROR('Oseid Mohamemed Faqih'!J13,"")</f>
        <v/>
      </c>
      <c r="J10" s="124" t="str">
        <f>IFERROR('Kamel Bedrane'!J13,"")</f>
        <v/>
      </c>
      <c r="K10" s="121" t="str">
        <f t="shared" si="0"/>
        <v/>
      </c>
      <c r="M10" s="122" t="s">
        <v>212</v>
      </c>
      <c r="N10" s="122" t="str">
        <f t="shared" si="1"/>
        <v/>
      </c>
      <c r="O10" s="122">
        <v>2</v>
      </c>
    </row>
    <row r="11" spans="1:34" ht="25.5" customHeight="1" x14ac:dyDescent="0.35">
      <c r="B11" s="58" t="s">
        <v>213</v>
      </c>
      <c r="C11" s="125" t="s">
        <v>0</v>
      </c>
      <c r="D11" s="60" t="s">
        <v>94</v>
      </c>
      <c r="E11" s="126" t="str">
        <f>IFERROR('Employee 1'!J14,"")</f>
        <v/>
      </c>
      <c r="F11" s="126" t="str">
        <f>IFERROR('Mohamed MARZOUK'!J14,"")</f>
        <v/>
      </c>
      <c r="G11" s="126" t="str">
        <f>IFERROR('Basim El-Subihy'!J14,"")</f>
        <v/>
      </c>
      <c r="H11" s="126" t="str">
        <f>IFERROR('Biju Mathew'!J14,"")</f>
        <v/>
      </c>
      <c r="I11" s="126" t="str">
        <f>IFERROR('Oseid Mohamemed Faqih'!J14,"")</f>
        <v/>
      </c>
      <c r="J11" s="126" t="str">
        <f>IFERROR('Kamel Bedrane'!J14,"")</f>
        <v/>
      </c>
      <c r="K11" s="121" t="str">
        <f t="shared" si="0"/>
        <v/>
      </c>
      <c r="M11" s="122" t="s">
        <v>213</v>
      </c>
      <c r="N11" s="122" t="str">
        <f t="shared" si="1"/>
        <v/>
      </c>
      <c r="O11" s="122">
        <v>2</v>
      </c>
    </row>
    <row r="12" spans="1:34" ht="25.5" customHeight="1" x14ac:dyDescent="0.35">
      <c r="B12" s="12" t="s">
        <v>214</v>
      </c>
      <c r="C12" s="61" t="s">
        <v>93</v>
      </c>
      <c r="D12" s="57" t="s">
        <v>94</v>
      </c>
      <c r="E12" s="124" t="str">
        <f>IFERROR('Employee 1'!J15,"")</f>
        <v/>
      </c>
      <c r="F12" s="124" t="str">
        <f>IFERROR('Mohamed MARZOUK'!J15,"")</f>
        <v/>
      </c>
      <c r="G12" s="124" t="str">
        <f>IFERROR('Basim El-Subihy'!J15,"")</f>
        <v/>
      </c>
      <c r="H12" s="124" t="str">
        <f>IFERROR('Biju Mathew'!J15,"")</f>
        <v/>
      </c>
      <c r="I12" s="124" t="str">
        <f>IFERROR('Oseid Mohamemed Faqih'!J15,"")</f>
        <v/>
      </c>
      <c r="J12" s="124" t="str">
        <f>IFERROR('Kamel Bedrane'!J15,"")</f>
        <v/>
      </c>
      <c r="K12" s="121" t="str">
        <f t="shared" si="0"/>
        <v/>
      </c>
      <c r="M12" s="122" t="s">
        <v>215</v>
      </c>
      <c r="N12" s="122" t="str">
        <f t="shared" si="1"/>
        <v/>
      </c>
      <c r="O12" s="122">
        <v>2</v>
      </c>
    </row>
    <row r="13" spans="1:34" ht="25.5" customHeight="1" x14ac:dyDescent="0.35">
      <c r="B13" s="62" t="s">
        <v>216</v>
      </c>
      <c r="C13" s="68" t="s">
        <v>0</v>
      </c>
      <c r="D13" s="64" t="s">
        <v>94</v>
      </c>
      <c r="E13" s="127" t="str">
        <f>IFERROR('Employee 1'!J16,"")</f>
        <v/>
      </c>
      <c r="F13" s="127" t="str">
        <f>IFERROR('Mohamed MARZOUK'!J16,"")</f>
        <v/>
      </c>
      <c r="G13" s="127" t="str">
        <f>IFERROR('Basim El-Subihy'!J16,"")</f>
        <v/>
      </c>
      <c r="H13" s="127" t="str">
        <f>IFERROR('Biju Mathew'!J16,"")</f>
        <v/>
      </c>
      <c r="I13" s="127" t="str">
        <f>IFERROR('Oseid Mohamemed Faqih'!J16,"")</f>
        <v/>
      </c>
      <c r="J13" s="127" t="str">
        <f>IFERROR('Kamel Bedrane'!J16,"")</f>
        <v/>
      </c>
      <c r="K13" s="121" t="str">
        <f t="shared" si="0"/>
        <v/>
      </c>
      <c r="M13" s="122" t="s">
        <v>217</v>
      </c>
      <c r="N13" s="122" t="str">
        <f t="shared" si="1"/>
        <v/>
      </c>
      <c r="O13" s="122">
        <v>2</v>
      </c>
    </row>
    <row r="14" spans="1:34" ht="25.5" customHeight="1" x14ac:dyDescent="0.35">
      <c r="B14" s="16" t="s">
        <v>218</v>
      </c>
      <c r="C14" s="67" t="s">
        <v>0</v>
      </c>
      <c r="D14" s="66" t="s">
        <v>94</v>
      </c>
      <c r="E14" s="128" t="str">
        <f>IFERROR('Employee 1'!J17,"")</f>
        <v/>
      </c>
      <c r="F14" s="128" t="str">
        <f>IFERROR('Mohamed MARZOUK'!J17,"")</f>
        <v/>
      </c>
      <c r="G14" s="128" t="str">
        <f>IFERROR('Basim El-Subihy'!J17,"")</f>
        <v/>
      </c>
      <c r="H14" s="128" t="str">
        <f>IFERROR('Biju Mathew'!J17,"")</f>
        <v/>
      </c>
      <c r="I14" s="128" t="str">
        <f>IFERROR('Oseid Mohamemed Faqih'!J17,"")</f>
        <v/>
      </c>
      <c r="J14" s="128" t="str">
        <f>IFERROR('Kamel Bedrane'!J17,"")</f>
        <v/>
      </c>
      <c r="K14" s="121" t="str">
        <f t="shared" si="0"/>
        <v/>
      </c>
      <c r="M14" s="122" t="s">
        <v>219</v>
      </c>
      <c r="N14" s="122" t="str">
        <f t="shared" si="1"/>
        <v/>
      </c>
      <c r="O14" s="122">
        <v>2</v>
      </c>
    </row>
    <row r="15" spans="1:34" ht="25.5" customHeight="1" x14ac:dyDescent="0.35">
      <c r="B15" s="62" t="s">
        <v>220</v>
      </c>
      <c r="C15" s="68" t="s">
        <v>0</v>
      </c>
      <c r="D15" s="64" t="s">
        <v>94</v>
      </c>
      <c r="E15" s="127" t="str">
        <f>IFERROR('Employee 1'!J18,"")</f>
        <v/>
      </c>
      <c r="F15" s="127" t="str">
        <f>IFERROR('Mohamed MARZOUK'!J18,"")</f>
        <v/>
      </c>
      <c r="G15" s="127" t="str">
        <f>IFERROR('Basim El-Subihy'!J18,"")</f>
        <v/>
      </c>
      <c r="H15" s="127" t="str">
        <f>IFERROR('Biju Mathew'!J18,"")</f>
        <v/>
      </c>
      <c r="I15" s="127" t="str">
        <f>IFERROR('Oseid Mohamemed Faqih'!J18,"")</f>
        <v/>
      </c>
      <c r="J15" s="127" t="str">
        <f>IFERROR('Kamel Bedrane'!J18,"")</f>
        <v/>
      </c>
      <c r="K15" s="121" t="str">
        <f t="shared" si="0"/>
        <v/>
      </c>
      <c r="M15" s="122" t="s">
        <v>221</v>
      </c>
      <c r="N15" s="122" t="str">
        <f t="shared" si="1"/>
        <v/>
      </c>
      <c r="O15" s="122">
        <v>2</v>
      </c>
    </row>
    <row r="16" spans="1:34" ht="25.5" customHeight="1" x14ac:dyDescent="0.35">
      <c r="B16" s="16" t="s">
        <v>124</v>
      </c>
      <c r="C16" s="67" t="s">
        <v>93</v>
      </c>
      <c r="D16" s="66" t="s">
        <v>94</v>
      </c>
      <c r="E16" s="128" t="str">
        <f>IFERROR('Employee 1'!J19,"")</f>
        <v/>
      </c>
      <c r="F16" s="128" t="str">
        <f>IFERROR('Mohamed MARZOUK'!J19,"")</f>
        <v/>
      </c>
      <c r="G16" s="128" t="str">
        <f>IFERROR('Basim El-Subihy'!J19,"")</f>
        <v/>
      </c>
      <c r="H16" s="128" t="str">
        <f>IFERROR('Biju Mathew'!J19,"")</f>
        <v/>
      </c>
      <c r="I16" s="128" t="str">
        <f>IFERROR('Oseid Mohamemed Faqih'!J19,"")</f>
        <v/>
      </c>
      <c r="J16" s="128" t="str">
        <f>IFERROR('Kamel Bedrane'!J19,"")</f>
        <v/>
      </c>
      <c r="K16" s="121" t="str">
        <f t="shared" si="0"/>
        <v/>
      </c>
      <c r="M16" s="122" t="s">
        <v>222</v>
      </c>
      <c r="N16" s="122" t="str">
        <f t="shared" si="1"/>
        <v/>
      </c>
      <c r="O16" s="122">
        <v>2</v>
      </c>
    </row>
    <row r="17" spans="2:15" ht="25.5" customHeight="1" x14ac:dyDescent="0.35">
      <c r="B17" s="62" t="s">
        <v>223</v>
      </c>
      <c r="C17" s="68" t="s">
        <v>93</v>
      </c>
      <c r="D17" s="64" t="s">
        <v>94</v>
      </c>
      <c r="E17" s="127" t="str">
        <f>IFERROR('Employee 1'!J20,"")</f>
        <v/>
      </c>
      <c r="F17" s="127" t="str">
        <f>IFERROR('Mohamed MARZOUK'!J20,"")</f>
        <v/>
      </c>
      <c r="G17" s="127" t="str">
        <f>IFERROR('Basim El-Subihy'!J20,"")</f>
        <v/>
      </c>
      <c r="H17" s="127" t="str">
        <f>IFERROR('Biju Mathew'!J20,"")</f>
        <v/>
      </c>
      <c r="I17" s="127" t="str">
        <f>IFERROR('Oseid Mohamemed Faqih'!J20,"")</f>
        <v/>
      </c>
      <c r="J17" s="127" t="str">
        <f>IFERROR('Kamel Bedrane'!J20,"")</f>
        <v/>
      </c>
      <c r="K17" s="121" t="str">
        <f t="shared" si="0"/>
        <v/>
      </c>
      <c r="M17" s="122" t="s">
        <v>224</v>
      </c>
      <c r="N17" s="122" t="str">
        <f t="shared" si="1"/>
        <v/>
      </c>
      <c r="O17" s="122">
        <v>2</v>
      </c>
    </row>
    <row r="18" spans="2:15" ht="25.5" customHeight="1" x14ac:dyDescent="0.35">
      <c r="B18" s="16" t="s">
        <v>225</v>
      </c>
      <c r="C18" s="67" t="s">
        <v>93</v>
      </c>
      <c r="D18" s="66" t="s">
        <v>94</v>
      </c>
      <c r="E18" s="128" t="str">
        <f>IFERROR('Employee 1'!J21,"")</f>
        <v/>
      </c>
      <c r="F18" s="128" t="str">
        <f>IFERROR('Mohamed MARZOUK'!J21,"")</f>
        <v/>
      </c>
      <c r="G18" s="128" t="str">
        <f>IFERROR('Basim El-Subihy'!J21,"")</f>
        <v/>
      </c>
      <c r="H18" s="128" t="str">
        <f>IFERROR('Biju Mathew'!J21,"")</f>
        <v/>
      </c>
      <c r="I18" s="128" t="str">
        <f>IFERROR('Oseid Mohamemed Faqih'!J21,"")</f>
        <v/>
      </c>
      <c r="J18" s="128" t="str">
        <f>IFERROR('Kamel Bedrane'!J21,"")</f>
        <v/>
      </c>
      <c r="K18" s="121" t="str">
        <f t="shared" si="0"/>
        <v/>
      </c>
      <c r="M18" s="122" t="s">
        <v>226</v>
      </c>
      <c r="N18" s="122" t="str">
        <f t="shared" si="1"/>
        <v/>
      </c>
      <c r="O18" s="122">
        <v>2</v>
      </c>
    </row>
    <row r="19" spans="2:15" ht="25.5" customHeight="1" x14ac:dyDescent="0.35">
      <c r="B19" s="69" t="s">
        <v>227</v>
      </c>
      <c r="C19" s="74" t="s">
        <v>0</v>
      </c>
      <c r="D19" s="71" t="s">
        <v>94</v>
      </c>
      <c r="E19" s="129" t="str">
        <f>IFERROR('Employee 1'!J22,"")</f>
        <v/>
      </c>
      <c r="F19" s="129" t="str">
        <f>IFERROR('Mohamed MARZOUK'!J22,"")</f>
        <v/>
      </c>
      <c r="G19" s="129" t="str">
        <f>IFERROR('Basim El-Subihy'!J22,"")</f>
        <v/>
      </c>
      <c r="H19" s="129" t="str">
        <f>IFERROR('Biju Mathew'!J22,"")</f>
        <v/>
      </c>
      <c r="I19" s="129" t="str">
        <f>IFERROR('Oseid Mohamemed Faqih'!J22,"")</f>
        <v/>
      </c>
      <c r="J19" s="129" t="str">
        <f>IFERROR('Kamel Bedrane'!J22,"")</f>
        <v/>
      </c>
      <c r="K19" s="121" t="str">
        <f t="shared" si="0"/>
        <v/>
      </c>
      <c r="M19" s="122" t="s">
        <v>228</v>
      </c>
      <c r="N19" s="122" t="str">
        <f t="shared" si="1"/>
        <v/>
      </c>
      <c r="O19" s="122">
        <v>2</v>
      </c>
    </row>
    <row r="20" spans="2:15" ht="25.5" customHeight="1" x14ac:dyDescent="0.35">
      <c r="B20" s="20" t="s">
        <v>229</v>
      </c>
      <c r="C20" s="75" t="s">
        <v>0</v>
      </c>
      <c r="D20" s="73" t="s">
        <v>94</v>
      </c>
      <c r="E20" s="130" t="str">
        <f>IFERROR('Employee 1'!J23,"")</f>
        <v/>
      </c>
      <c r="F20" s="130" t="str">
        <f>IFERROR('Mohamed MARZOUK'!J23,"")</f>
        <v/>
      </c>
      <c r="G20" s="130" t="str">
        <f>IFERROR('Basim El-Subihy'!J23,"")</f>
        <v/>
      </c>
      <c r="H20" s="130" t="str">
        <f>IFERROR('Biju Mathew'!J23,"")</f>
        <v/>
      </c>
      <c r="I20" s="130" t="str">
        <f>IFERROR('Oseid Mohamemed Faqih'!J23,"")</f>
        <v/>
      </c>
      <c r="J20" s="130" t="str">
        <f>IFERROR('Kamel Bedrane'!J23,"")</f>
        <v/>
      </c>
      <c r="K20" s="121" t="str">
        <f t="shared" si="0"/>
        <v/>
      </c>
      <c r="M20" s="122" t="s">
        <v>230</v>
      </c>
      <c r="N20" s="122" t="str">
        <f t="shared" si="1"/>
        <v/>
      </c>
      <c r="O20" s="122">
        <v>2</v>
      </c>
    </row>
    <row r="21" spans="2:15" ht="25.5" customHeight="1" x14ac:dyDescent="0.35">
      <c r="B21" s="69" t="s">
        <v>231</v>
      </c>
      <c r="C21" s="74" t="s">
        <v>93</v>
      </c>
      <c r="D21" s="71" t="s">
        <v>94</v>
      </c>
      <c r="E21" s="129" t="str">
        <f>IFERROR('Employee 1'!J24,"")</f>
        <v/>
      </c>
      <c r="F21" s="129" t="str">
        <f>IFERROR('Mohamed MARZOUK'!J24,"")</f>
        <v/>
      </c>
      <c r="G21" s="129" t="str">
        <f>IFERROR('Basim El-Subihy'!J24,"")</f>
        <v/>
      </c>
      <c r="H21" s="129" t="str">
        <f>IFERROR('Biju Mathew'!J24,"")</f>
        <v/>
      </c>
      <c r="I21" s="129" t="str">
        <f>IFERROR('Oseid Mohamemed Faqih'!J24,"")</f>
        <v/>
      </c>
      <c r="J21" s="129" t="str">
        <f>IFERROR('Kamel Bedrane'!J24,"")</f>
        <v/>
      </c>
      <c r="K21" s="121" t="str">
        <f t="shared" si="0"/>
        <v/>
      </c>
      <c r="M21" s="122" t="s">
        <v>232</v>
      </c>
      <c r="N21" s="122" t="str">
        <f t="shared" si="1"/>
        <v/>
      </c>
      <c r="O21" s="122">
        <v>2</v>
      </c>
    </row>
    <row r="22" spans="2:15" ht="25.5" customHeight="1" x14ac:dyDescent="0.35">
      <c r="B22" s="20" t="s">
        <v>233</v>
      </c>
      <c r="C22" s="75" t="s">
        <v>93</v>
      </c>
      <c r="D22" s="73" t="s">
        <v>94</v>
      </c>
      <c r="E22" s="130" t="str">
        <f>IFERROR('Employee 1'!J25,"")</f>
        <v/>
      </c>
      <c r="F22" s="130" t="str">
        <f>IFERROR('Mohamed MARZOUK'!J25,"")</f>
        <v/>
      </c>
      <c r="G22" s="130" t="str">
        <f>IFERROR('Basim El-Subihy'!J25,"")</f>
        <v/>
      </c>
      <c r="H22" s="130" t="str">
        <f>IFERROR('Biju Mathew'!J25,"")</f>
        <v/>
      </c>
      <c r="I22" s="130" t="str">
        <f>IFERROR('Oseid Mohamemed Faqih'!J25,"")</f>
        <v/>
      </c>
      <c r="J22" s="130" t="str">
        <f>IFERROR('Kamel Bedrane'!J25,"")</f>
        <v/>
      </c>
      <c r="K22" s="121" t="str">
        <f t="shared" si="0"/>
        <v/>
      </c>
      <c r="M22" s="122" t="s">
        <v>234</v>
      </c>
      <c r="N22" s="122" t="str">
        <f t="shared" si="1"/>
        <v/>
      </c>
      <c r="O22" s="122">
        <v>2</v>
      </c>
    </row>
    <row r="23" spans="2:15" ht="25.5" customHeight="1" x14ac:dyDescent="0.35">
      <c r="B23" s="76" t="s">
        <v>235</v>
      </c>
      <c r="C23" s="77" t="s">
        <v>155</v>
      </c>
      <c r="D23" s="78" t="s">
        <v>88</v>
      </c>
      <c r="E23" s="131" t="str">
        <f>IFERROR('Employee 1'!J26,"")</f>
        <v/>
      </c>
      <c r="F23" s="131" t="str">
        <f>IFERROR('Mohamed MARZOUK'!J26,"")</f>
        <v/>
      </c>
      <c r="G23" s="131" t="str">
        <f>IFERROR('Basim El-Subihy'!J26,"")</f>
        <v/>
      </c>
      <c r="H23" s="131" t="str">
        <f>IFERROR('Biju Mathew'!J26,"")</f>
        <v/>
      </c>
      <c r="I23" s="131" t="str">
        <f>IFERROR('Oseid Mohamemed Faqih'!J26,"")</f>
        <v/>
      </c>
      <c r="J23" s="131" t="str">
        <f>IFERROR('Kamel Bedrane'!J26,"")</f>
        <v/>
      </c>
      <c r="K23" s="121" t="str">
        <f t="shared" si="0"/>
        <v/>
      </c>
      <c r="M23" s="122" t="s">
        <v>236</v>
      </c>
      <c r="N23" s="122" t="str">
        <f t="shared" si="1"/>
        <v/>
      </c>
      <c r="O23" s="122">
        <v>2</v>
      </c>
    </row>
    <row r="24" spans="2:15" ht="25.5" customHeight="1" x14ac:dyDescent="0.35">
      <c r="B24" s="24" t="s">
        <v>237</v>
      </c>
      <c r="C24" s="79" t="s">
        <v>155</v>
      </c>
      <c r="D24" s="80" t="s">
        <v>94</v>
      </c>
      <c r="E24" s="132" t="str">
        <f>IFERROR('Employee 1'!J27,"")</f>
        <v/>
      </c>
      <c r="F24" s="132" t="str">
        <f>IFERROR('Mohamed MARZOUK'!J27,"")</f>
        <v/>
      </c>
      <c r="G24" s="132" t="str">
        <f>IFERROR('Basim El-Subihy'!J27,"")</f>
        <v/>
      </c>
      <c r="H24" s="132" t="str">
        <f>IFERROR('Biju Mathew'!J27,"")</f>
        <v/>
      </c>
      <c r="I24" s="132" t="str">
        <f>IFERROR('Oseid Mohamemed Faqih'!J27,"")</f>
        <v/>
      </c>
      <c r="J24" s="132" t="str">
        <f>IFERROR('Kamel Bedrane'!J27,"")</f>
        <v/>
      </c>
      <c r="K24" s="121" t="str">
        <f t="shared" si="0"/>
        <v/>
      </c>
      <c r="M24" s="122" t="s">
        <v>238</v>
      </c>
      <c r="N24" s="122" t="str">
        <f t="shared" si="1"/>
        <v/>
      </c>
      <c r="O24" s="122">
        <v>2</v>
      </c>
    </row>
    <row r="25" spans="2:15" ht="25.5" customHeight="1" x14ac:dyDescent="0.35">
      <c r="B25" s="76" t="s">
        <v>239</v>
      </c>
      <c r="C25" s="77" t="s">
        <v>155</v>
      </c>
      <c r="D25" s="81" t="s">
        <v>94</v>
      </c>
      <c r="E25" s="131" t="str">
        <f>IFERROR('Employee 1'!J28,"")</f>
        <v/>
      </c>
      <c r="F25" s="131" t="str">
        <f>IFERROR('Mohamed MARZOUK'!J28,"")</f>
        <v/>
      </c>
      <c r="G25" s="131" t="str">
        <f>IFERROR('Basim El-Subihy'!J28,"")</f>
        <v/>
      </c>
      <c r="H25" s="131" t="str">
        <f>IFERROR('Biju Mathew'!J28,"")</f>
        <v/>
      </c>
      <c r="I25" s="131" t="str">
        <f>IFERROR('Oseid Mohamemed Faqih'!J28,"")</f>
        <v/>
      </c>
      <c r="J25" s="131" t="str">
        <f>IFERROR('Kamel Bedrane'!J28,"")</f>
        <v/>
      </c>
      <c r="K25" s="121" t="str">
        <f t="shared" si="0"/>
        <v/>
      </c>
      <c r="M25" s="122" t="s">
        <v>240</v>
      </c>
      <c r="N25" s="122" t="str">
        <f t="shared" si="1"/>
        <v/>
      </c>
      <c r="O25" s="122">
        <v>2</v>
      </c>
    </row>
    <row r="26" spans="2:15" ht="25.5" customHeight="1" x14ac:dyDescent="0.35">
      <c r="B26" s="24" t="s">
        <v>241</v>
      </c>
      <c r="C26" s="79" t="s">
        <v>155</v>
      </c>
      <c r="D26" s="80" t="s">
        <v>94</v>
      </c>
      <c r="E26" s="132" t="str">
        <f>IFERROR('Employee 1'!J29,"")</f>
        <v/>
      </c>
      <c r="F26" s="132" t="str">
        <f>IFERROR('Mohamed MARZOUK'!J29,"")</f>
        <v/>
      </c>
      <c r="G26" s="132" t="str">
        <f>IFERROR('Basim El-Subihy'!J29,"")</f>
        <v/>
      </c>
      <c r="H26" s="132" t="str">
        <f>IFERROR('Biju Mathew'!J29,"")</f>
        <v/>
      </c>
      <c r="I26" s="132" t="str">
        <f>IFERROR('Oseid Mohamemed Faqih'!J29,"")</f>
        <v/>
      </c>
      <c r="J26" s="132" t="str">
        <f>IFERROR('Kamel Bedrane'!J29,"")</f>
        <v/>
      </c>
      <c r="K26" s="121" t="str">
        <f t="shared" si="0"/>
        <v/>
      </c>
      <c r="M26" s="122" t="s">
        <v>242</v>
      </c>
      <c r="N26" s="122" t="str">
        <f t="shared" si="1"/>
        <v/>
      </c>
      <c r="O26" s="122">
        <v>2</v>
      </c>
    </row>
    <row r="27" spans="2:15" ht="25.5" customHeight="1" x14ac:dyDescent="0.35">
      <c r="B27" s="82" t="s">
        <v>243</v>
      </c>
      <c r="C27" s="83" t="s">
        <v>174</v>
      </c>
      <c r="D27" s="84" t="s">
        <v>88</v>
      </c>
      <c r="E27" s="133" t="str">
        <f>IFERROR('Employee 1'!J30,"")</f>
        <v/>
      </c>
      <c r="F27" s="133" t="str">
        <f>IFERROR('Mohamed MARZOUK'!J30,"")</f>
        <v/>
      </c>
      <c r="G27" s="133" t="str">
        <f>IFERROR('Basim El-Subihy'!J30,"")</f>
        <v/>
      </c>
      <c r="H27" s="133" t="str">
        <f>IFERROR('Biju Mathew'!J30,"")</f>
        <v/>
      </c>
      <c r="I27" s="133" t="str">
        <f>IFERROR('Oseid Mohamemed Faqih'!J30,"")</f>
        <v/>
      </c>
      <c r="J27" s="133" t="str">
        <f>IFERROR('Kamel Bedrane'!J30,"")</f>
        <v/>
      </c>
      <c r="K27" s="121" t="str">
        <f t="shared" si="0"/>
        <v/>
      </c>
      <c r="M27" s="122" t="s">
        <v>244</v>
      </c>
      <c r="N27" s="122" t="str">
        <f t="shared" si="1"/>
        <v/>
      </c>
      <c r="O27" s="122">
        <v>2</v>
      </c>
    </row>
    <row r="28" spans="2:15" ht="25.5" customHeight="1" x14ac:dyDescent="0.35">
      <c r="B28" s="28" t="s">
        <v>245</v>
      </c>
      <c r="C28" s="85" t="s">
        <v>174</v>
      </c>
      <c r="D28" s="86" t="s">
        <v>94</v>
      </c>
      <c r="E28" s="134" t="str">
        <f>IFERROR('Employee 1'!J31,"")</f>
        <v/>
      </c>
      <c r="F28" s="134" t="str">
        <f>IFERROR('Mohamed MARZOUK'!J31,"")</f>
        <v/>
      </c>
      <c r="G28" s="134" t="str">
        <f>IFERROR('Basim El-Subihy'!J31,"")</f>
        <v/>
      </c>
      <c r="H28" s="134" t="str">
        <f>IFERROR('Biju Mathew'!J31,"")</f>
        <v/>
      </c>
      <c r="I28" s="134" t="str">
        <f>IFERROR('Oseid Mohamemed Faqih'!J31,"")</f>
        <v/>
      </c>
      <c r="J28" s="134" t="str">
        <f>IFERROR('Kamel Bedrane'!J31,"")</f>
        <v/>
      </c>
      <c r="K28" s="121" t="str">
        <f t="shared" si="0"/>
        <v/>
      </c>
      <c r="M28" s="122" t="s">
        <v>246</v>
      </c>
      <c r="N28" s="122" t="str">
        <f t="shared" si="1"/>
        <v/>
      </c>
      <c r="O28" s="122">
        <v>2</v>
      </c>
    </row>
    <row r="29" spans="2:15" ht="25.5" customHeight="1" x14ac:dyDescent="0.35">
      <c r="B29" s="82" t="s">
        <v>247</v>
      </c>
      <c r="C29" s="83" t="s">
        <v>174</v>
      </c>
      <c r="D29" s="87" t="s">
        <v>94</v>
      </c>
      <c r="E29" s="133" t="str">
        <f>IFERROR('Employee 1'!J32,"")</f>
        <v/>
      </c>
      <c r="F29" s="133" t="str">
        <f>IFERROR('Mohamed MARZOUK'!J32,"")</f>
        <v/>
      </c>
      <c r="G29" s="133" t="str">
        <f>IFERROR('Basim El-Subihy'!J32,"")</f>
        <v/>
      </c>
      <c r="H29" s="133" t="str">
        <f>IFERROR('Biju Mathew'!J32,"")</f>
        <v/>
      </c>
      <c r="I29" s="133" t="str">
        <f>IFERROR('Oseid Mohamemed Faqih'!J32,"")</f>
        <v/>
      </c>
      <c r="J29" s="133" t="str">
        <f>IFERROR('Kamel Bedrane'!J32,"")</f>
        <v/>
      </c>
      <c r="K29" s="121" t="str">
        <f t="shared" si="0"/>
        <v/>
      </c>
      <c r="M29" s="122" t="s">
        <v>248</v>
      </c>
      <c r="N29" s="122" t="str">
        <f t="shared" si="1"/>
        <v/>
      </c>
      <c r="O29" s="122">
        <v>2</v>
      </c>
    </row>
    <row r="30" spans="2:15" ht="25.5" customHeight="1" x14ac:dyDescent="0.35">
      <c r="B30" s="169" t="s">
        <v>302</v>
      </c>
      <c r="C30" s="169"/>
      <c r="D30" s="169"/>
      <c r="E30" s="135" t="str">
        <f t="shared" ref="E30:J30" si="2">IFERROR(AVERAGE(E8:E29),"")</f>
        <v/>
      </c>
      <c r="F30" s="135" t="str">
        <f t="shared" si="2"/>
        <v/>
      </c>
      <c r="G30" s="135" t="str">
        <f t="shared" si="2"/>
        <v/>
      </c>
      <c r="H30" s="135" t="str">
        <f t="shared" si="2"/>
        <v/>
      </c>
      <c r="I30" s="135" t="str">
        <f t="shared" si="2"/>
        <v/>
      </c>
      <c r="J30" s="135" t="str">
        <f t="shared" si="2"/>
        <v/>
      </c>
    </row>
  </sheetData>
  <mergeCells count="5">
    <mergeCell ref="B2:C4"/>
    <mergeCell ref="D2:Z2"/>
    <mergeCell ref="D3:Z4"/>
    <mergeCell ref="B5:Z5"/>
    <mergeCell ref="B30:D30"/>
  </mergeCells>
  <conditionalFormatting sqref="E8:J29">
    <cfRule type="cellIs" dxfId="11" priority="2" operator="equal">
      <formula>1</formula>
    </cfRule>
    <cfRule type="cellIs" dxfId="10" priority="3" operator="equal">
      <formula>2</formula>
    </cfRule>
    <cfRule type="cellIs" dxfId="9" priority="4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9E4D"/>
  </sheetPr>
  <dimension ref="A1:AH30"/>
  <sheetViews>
    <sheetView showGridLines="0" showRowColHeader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54296875" defaultRowHeight="14.5" x14ac:dyDescent="0.35"/>
  <cols>
    <col min="1" max="1" width="1.54296875" customWidth="1"/>
    <col min="2" max="2" width="26" customWidth="1"/>
    <col min="3" max="4" width="6" customWidth="1"/>
    <col min="5" max="10" width="11" customWidth="1"/>
    <col min="11" max="11" width="10" customWidth="1"/>
    <col min="12" max="12" width="1.54296875" customWidth="1"/>
    <col min="13" max="15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317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318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7.5" customHeight="1" x14ac:dyDescent="0.35">
      <c r="B7" s="118" t="s">
        <v>78</v>
      </c>
      <c r="C7" s="118" t="s">
        <v>80</v>
      </c>
      <c r="D7" s="118" t="s">
        <v>308</v>
      </c>
      <c r="E7" s="94" t="s">
        <v>319</v>
      </c>
      <c r="F7" s="94" t="s">
        <v>320</v>
      </c>
      <c r="G7" s="94" t="s">
        <v>321</v>
      </c>
      <c r="H7" s="94" t="s">
        <v>322</v>
      </c>
      <c r="I7" s="94" t="s">
        <v>323</v>
      </c>
      <c r="J7" s="94" t="s">
        <v>324</v>
      </c>
      <c r="K7" s="3" t="s">
        <v>315</v>
      </c>
      <c r="M7" s="45" t="s">
        <v>78</v>
      </c>
      <c r="N7" s="45" t="s">
        <v>316</v>
      </c>
      <c r="O7" s="45" t="s">
        <v>206</v>
      </c>
    </row>
    <row r="8" spans="1:34" ht="25.5" customHeight="1" x14ac:dyDescent="0.35">
      <c r="B8" s="5" t="s">
        <v>207</v>
      </c>
      <c r="C8" s="4" t="s">
        <v>0</v>
      </c>
      <c r="D8" s="4" t="s">
        <v>88</v>
      </c>
      <c r="E8" s="120" t="str">
        <f>IFERROR('Moamen Mohamed Ahmed Ibrahim'!J11,"")</f>
        <v/>
      </c>
      <c r="F8" s="120" t="str">
        <f>IFERROR('Ahmed Abdel-Maugod'!J11,"")</f>
        <v/>
      </c>
      <c r="G8" s="120" t="str">
        <f>IFERROR('Moteeb Albaqami'!J11,"")</f>
        <v/>
      </c>
      <c r="H8" s="120" t="str">
        <f>IFERROR('Anny Rodrigues de Assis '!J11,"")</f>
        <v/>
      </c>
      <c r="I8" s="120" t="str">
        <f>IFERROR('Eduardo Salles de Carvalho'!J11,"")</f>
        <v/>
      </c>
      <c r="J8" s="120" t="str">
        <f>IFERROR('Marco Antonio Martins'!J11,"")</f>
        <v/>
      </c>
      <c r="K8" s="136" t="str">
        <f t="shared" ref="K8:K29" si="0">IFERROR(AVERAGE(E8,F8,G8,H8,I8,J8),"")</f>
        <v/>
      </c>
      <c r="M8" s="122" t="s">
        <v>208</v>
      </c>
      <c r="N8" s="122" t="str">
        <f t="shared" ref="N8:N29" si="1">K8</f>
        <v/>
      </c>
      <c r="O8" s="122">
        <v>2</v>
      </c>
    </row>
    <row r="9" spans="1:34" ht="25.5" customHeight="1" x14ac:dyDescent="0.35">
      <c r="B9" s="53" t="s">
        <v>209</v>
      </c>
      <c r="C9" s="54" t="s">
        <v>93</v>
      </c>
      <c r="D9" s="55" t="s">
        <v>94</v>
      </c>
      <c r="E9" s="123" t="str">
        <f>IFERROR('Moamen Mohamed Ahmed Ibrahim'!J12,"")</f>
        <v/>
      </c>
      <c r="F9" s="123" t="str">
        <f>IFERROR('Ahmed Abdel-Maugod'!J12,"")</f>
        <v/>
      </c>
      <c r="G9" s="123" t="str">
        <f>IFERROR('Moteeb Albaqami'!J12,"")</f>
        <v/>
      </c>
      <c r="H9" s="123" t="str">
        <f>IFERROR('Anny Rodrigues de Assis '!J12,"")</f>
        <v/>
      </c>
      <c r="I9" s="123" t="str">
        <f>IFERROR('Eduardo Salles de Carvalho'!J12,"")</f>
        <v/>
      </c>
      <c r="J9" s="123" t="str">
        <f>IFERROR('Marco Antonio Martins'!J12,"")</f>
        <v/>
      </c>
      <c r="K9" s="136" t="str">
        <f t="shared" si="0"/>
        <v/>
      </c>
      <c r="M9" s="122" t="s">
        <v>210</v>
      </c>
      <c r="N9" s="122" t="str">
        <f t="shared" si="1"/>
        <v/>
      </c>
      <c r="O9" s="122">
        <v>2</v>
      </c>
    </row>
    <row r="10" spans="1:34" ht="25.5" customHeight="1" x14ac:dyDescent="0.35">
      <c r="B10" s="12" t="s">
        <v>211</v>
      </c>
      <c r="C10" s="61" t="s">
        <v>0</v>
      </c>
      <c r="D10" s="57" t="s">
        <v>94</v>
      </c>
      <c r="E10" s="124" t="str">
        <f>IFERROR('Moamen Mohamed Ahmed Ibrahim'!J13,"")</f>
        <v/>
      </c>
      <c r="F10" s="124" t="str">
        <f>IFERROR('Ahmed Abdel-Maugod'!J13,"")</f>
        <v/>
      </c>
      <c r="G10" s="124" t="str">
        <f>IFERROR('Moteeb Albaqami'!J13,"")</f>
        <v/>
      </c>
      <c r="H10" s="124" t="str">
        <f>IFERROR('Anny Rodrigues de Assis '!J13,"")</f>
        <v/>
      </c>
      <c r="I10" s="124" t="str">
        <f>IFERROR('Eduardo Salles de Carvalho'!J13,"")</f>
        <v/>
      </c>
      <c r="J10" s="124" t="str">
        <f>IFERROR('Marco Antonio Martins'!J13,"")</f>
        <v/>
      </c>
      <c r="K10" s="136" t="str">
        <f t="shared" si="0"/>
        <v/>
      </c>
      <c r="M10" s="122" t="s">
        <v>212</v>
      </c>
      <c r="N10" s="122" t="str">
        <f t="shared" si="1"/>
        <v/>
      </c>
      <c r="O10" s="122">
        <v>2</v>
      </c>
    </row>
    <row r="11" spans="1:34" ht="25.5" customHeight="1" x14ac:dyDescent="0.35">
      <c r="B11" s="58" t="s">
        <v>213</v>
      </c>
      <c r="C11" s="125" t="s">
        <v>0</v>
      </c>
      <c r="D11" s="60" t="s">
        <v>94</v>
      </c>
      <c r="E11" s="126" t="str">
        <f>IFERROR('Moamen Mohamed Ahmed Ibrahim'!J14,"")</f>
        <v/>
      </c>
      <c r="F11" s="126" t="str">
        <f>IFERROR('Ahmed Abdel-Maugod'!J14,"")</f>
        <v/>
      </c>
      <c r="G11" s="126" t="str">
        <f>IFERROR('Moteeb Albaqami'!J14,"")</f>
        <v/>
      </c>
      <c r="H11" s="126" t="str">
        <f>IFERROR('Anny Rodrigues de Assis '!J14,"")</f>
        <v/>
      </c>
      <c r="I11" s="126" t="str">
        <f>IFERROR('Eduardo Salles de Carvalho'!J14,"")</f>
        <v/>
      </c>
      <c r="J11" s="126" t="str">
        <f>IFERROR('Marco Antonio Martins'!J14,"")</f>
        <v/>
      </c>
      <c r="K11" s="136" t="str">
        <f t="shared" si="0"/>
        <v/>
      </c>
      <c r="M11" s="122" t="s">
        <v>213</v>
      </c>
      <c r="N11" s="122" t="str">
        <f t="shared" si="1"/>
        <v/>
      </c>
      <c r="O11" s="122">
        <v>2</v>
      </c>
    </row>
    <row r="12" spans="1:34" ht="25.5" customHeight="1" x14ac:dyDescent="0.35">
      <c r="B12" s="12" t="s">
        <v>214</v>
      </c>
      <c r="C12" s="61" t="s">
        <v>93</v>
      </c>
      <c r="D12" s="57" t="s">
        <v>94</v>
      </c>
      <c r="E12" s="124" t="str">
        <f>IFERROR('Moamen Mohamed Ahmed Ibrahim'!J15,"")</f>
        <v/>
      </c>
      <c r="F12" s="124" t="str">
        <f>IFERROR('Ahmed Abdel-Maugod'!J15,"")</f>
        <v/>
      </c>
      <c r="G12" s="124" t="str">
        <f>IFERROR('Moteeb Albaqami'!J15,"")</f>
        <v/>
      </c>
      <c r="H12" s="124" t="str">
        <f>IFERROR('Anny Rodrigues de Assis '!J15,"")</f>
        <v/>
      </c>
      <c r="I12" s="124" t="str">
        <f>IFERROR('Eduardo Salles de Carvalho'!J15,"")</f>
        <v/>
      </c>
      <c r="J12" s="124" t="str">
        <f>IFERROR('Marco Antonio Martins'!J15,"")</f>
        <v/>
      </c>
      <c r="K12" s="136" t="str">
        <f t="shared" si="0"/>
        <v/>
      </c>
      <c r="M12" s="122" t="s">
        <v>215</v>
      </c>
      <c r="N12" s="122" t="str">
        <f t="shared" si="1"/>
        <v/>
      </c>
      <c r="O12" s="122">
        <v>2</v>
      </c>
    </row>
    <row r="13" spans="1:34" ht="25.5" customHeight="1" x14ac:dyDescent="0.35">
      <c r="B13" s="62" t="s">
        <v>216</v>
      </c>
      <c r="C13" s="68" t="s">
        <v>0</v>
      </c>
      <c r="D13" s="64" t="s">
        <v>94</v>
      </c>
      <c r="E13" s="127" t="str">
        <f>IFERROR('Moamen Mohamed Ahmed Ibrahim'!J16,"")</f>
        <v/>
      </c>
      <c r="F13" s="127" t="str">
        <f>IFERROR('Ahmed Abdel-Maugod'!J16,"")</f>
        <v/>
      </c>
      <c r="G13" s="127" t="str">
        <f>IFERROR('Moteeb Albaqami'!J16,"")</f>
        <v/>
      </c>
      <c r="H13" s="127" t="str">
        <f>IFERROR('Anny Rodrigues de Assis '!J16,"")</f>
        <v/>
      </c>
      <c r="I13" s="127" t="str">
        <f>IFERROR('Eduardo Salles de Carvalho'!J16,"")</f>
        <v/>
      </c>
      <c r="J13" s="127" t="str">
        <f>IFERROR('Marco Antonio Martins'!J16,"")</f>
        <v/>
      </c>
      <c r="K13" s="136" t="str">
        <f t="shared" si="0"/>
        <v/>
      </c>
      <c r="M13" s="122" t="s">
        <v>217</v>
      </c>
      <c r="N13" s="122" t="str">
        <f t="shared" si="1"/>
        <v/>
      </c>
      <c r="O13" s="122">
        <v>2</v>
      </c>
    </row>
    <row r="14" spans="1:34" ht="25.5" customHeight="1" x14ac:dyDescent="0.35">
      <c r="B14" s="16" t="s">
        <v>218</v>
      </c>
      <c r="C14" s="67" t="s">
        <v>0</v>
      </c>
      <c r="D14" s="66" t="s">
        <v>94</v>
      </c>
      <c r="E14" s="128" t="str">
        <f>IFERROR('Moamen Mohamed Ahmed Ibrahim'!J17,"")</f>
        <v/>
      </c>
      <c r="F14" s="128" t="str">
        <f>IFERROR('Ahmed Abdel-Maugod'!J17,"")</f>
        <v/>
      </c>
      <c r="G14" s="128" t="str">
        <f>IFERROR('Moteeb Albaqami'!J17,"")</f>
        <v/>
      </c>
      <c r="H14" s="128" t="str">
        <f>IFERROR('Anny Rodrigues de Assis '!J17,"")</f>
        <v/>
      </c>
      <c r="I14" s="128" t="str">
        <f>IFERROR('Eduardo Salles de Carvalho'!J17,"")</f>
        <v/>
      </c>
      <c r="J14" s="128" t="str">
        <f>IFERROR('Marco Antonio Martins'!J17,"")</f>
        <v/>
      </c>
      <c r="K14" s="136" t="str">
        <f t="shared" si="0"/>
        <v/>
      </c>
      <c r="M14" s="122" t="s">
        <v>219</v>
      </c>
      <c r="N14" s="122" t="str">
        <f t="shared" si="1"/>
        <v/>
      </c>
      <c r="O14" s="122">
        <v>2</v>
      </c>
    </row>
    <row r="15" spans="1:34" ht="25.5" customHeight="1" x14ac:dyDescent="0.35">
      <c r="B15" s="62" t="s">
        <v>220</v>
      </c>
      <c r="C15" s="68" t="s">
        <v>0</v>
      </c>
      <c r="D15" s="64" t="s">
        <v>94</v>
      </c>
      <c r="E15" s="127" t="str">
        <f>IFERROR('Moamen Mohamed Ahmed Ibrahim'!J18,"")</f>
        <v/>
      </c>
      <c r="F15" s="127" t="str">
        <f>IFERROR('Ahmed Abdel-Maugod'!J18,"")</f>
        <v/>
      </c>
      <c r="G15" s="127" t="str">
        <f>IFERROR('Moteeb Albaqami'!J18,"")</f>
        <v/>
      </c>
      <c r="H15" s="127" t="str">
        <f>IFERROR('Anny Rodrigues de Assis '!J18,"")</f>
        <v/>
      </c>
      <c r="I15" s="127" t="str">
        <f>IFERROR('Eduardo Salles de Carvalho'!J18,"")</f>
        <v/>
      </c>
      <c r="J15" s="127" t="str">
        <f>IFERROR('Marco Antonio Martins'!J18,"")</f>
        <v/>
      </c>
      <c r="K15" s="136" t="str">
        <f t="shared" si="0"/>
        <v/>
      </c>
      <c r="M15" s="122" t="s">
        <v>221</v>
      </c>
      <c r="N15" s="122" t="str">
        <f t="shared" si="1"/>
        <v/>
      </c>
      <c r="O15" s="122">
        <v>2</v>
      </c>
    </row>
    <row r="16" spans="1:34" ht="25.5" customHeight="1" x14ac:dyDescent="0.35">
      <c r="B16" s="16" t="s">
        <v>124</v>
      </c>
      <c r="C16" s="67" t="s">
        <v>93</v>
      </c>
      <c r="D16" s="66" t="s">
        <v>94</v>
      </c>
      <c r="E16" s="128" t="str">
        <f>IFERROR('Moamen Mohamed Ahmed Ibrahim'!J19,"")</f>
        <v/>
      </c>
      <c r="F16" s="128" t="str">
        <f>IFERROR('Ahmed Abdel-Maugod'!J19,"")</f>
        <v/>
      </c>
      <c r="G16" s="128" t="str">
        <f>IFERROR('Moteeb Albaqami'!J19,"")</f>
        <v/>
      </c>
      <c r="H16" s="128" t="str">
        <f>IFERROR('Anny Rodrigues de Assis '!J19,"")</f>
        <v/>
      </c>
      <c r="I16" s="128" t="str">
        <f>IFERROR('Eduardo Salles de Carvalho'!J19,"")</f>
        <v/>
      </c>
      <c r="J16" s="128" t="str">
        <f>IFERROR('Marco Antonio Martins'!J19,"")</f>
        <v/>
      </c>
      <c r="K16" s="136" t="str">
        <f t="shared" si="0"/>
        <v/>
      </c>
      <c r="M16" s="122" t="s">
        <v>222</v>
      </c>
      <c r="N16" s="122" t="str">
        <f t="shared" si="1"/>
        <v/>
      </c>
      <c r="O16" s="122">
        <v>2</v>
      </c>
    </row>
    <row r="17" spans="2:15" ht="25.5" customHeight="1" x14ac:dyDescent="0.35">
      <c r="B17" s="62" t="s">
        <v>223</v>
      </c>
      <c r="C17" s="68" t="s">
        <v>93</v>
      </c>
      <c r="D17" s="64" t="s">
        <v>94</v>
      </c>
      <c r="E17" s="127" t="str">
        <f>IFERROR('Moamen Mohamed Ahmed Ibrahim'!J20,"")</f>
        <v/>
      </c>
      <c r="F17" s="127" t="str">
        <f>IFERROR('Ahmed Abdel-Maugod'!J20,"")</f>
        <v/>
      </c>
      <c r="G17" s="127" t="str">
        <f>IFERROR('Moteeb Albaqami'!J20,"")</f>
        <v/>
      </c>
      <c r="H17" s="127" t="str">
        <f>IFERROR('Anny Rodrigues de Assis '!J20,"")</f>
        <v/>
      </c>
      <c r="I17" s="127" t="str">
        <f>IFERROR('Eduardo Salles de Carvalho'!J20,"")</f>
        <v/>
      </c>
      <c r="J17" s="127" t="str">
        <f>IFERROR('Marco Antonio Martins'!J20,"")</f>
        <v/>
      </c>
      <c r="K17" s="136" t="str">
        <f t="shared" si="0"/>
        <v/>
      </c>
      <c r="M17" s="122" t="s">
        <v>224</v>
      </c>
      <c r="N17" s="122" t="str">
        <f t="shared" si="1"/>
        <v/>
      </c>
      <c r="O17" s="122">
        <v>2</v>
      </c>
    </row>
    <row r="18" spans="2:15" ht="25.5" customHeight="1" x14ac:dyDescent="0.35">
      <c r="B18" s="16" t="s">
        <v>225</v>
      </c>
      <c r="C18" s="67" t="s">
        <v>93</v>
      </c>
      <c r="D18" s="66" t="s">
        <v>94</v>
      </c>
      <c r="E18" s="128" t="str">
        <f>IFERROR('Moamen Mohamed Ahmed Ibrahim'!J21,"")</f>
        <v/>
      </c>
      <c r="F18" s="128" t="str">
        <f>IFERROR('Ahmed Abdel-Maugod'!J21,"")</f>
        <v/>
      </c>
      <c r="G18" s="128" t="str">
        <f>IFERROR('Moteeb Albaqami'!J21,"")</f>
        <v/>
      </c>
      <c r="H18" s="128" t="str">
        <f>IFERROR('Anny Rodrigues de Assis '!J21,"")</f>
        <v/>
      </c>
      <c r="I18" s="128" t="str">
        <f>IFERROR('Eduardo Salles de Carvalho'!J21,"")</f>
        <v/>
      </c>
      <c r="J18" s="128" t="str">
        <f>IFERROR('Marco Antonio Martins'!J21,"")</f>
        <v/>
      </c>
      <c r="K18" s="136" t="str">
        <f t="shared" si="0"/>
        <v/>
      </c>
      <c r="M18" s="122" t="s">
        <v>226</v>
      </c>
      <c r="N18" s="122" t="str">
        <f t="shared" si="1"/>
        <v/>
      </c>
      <c r="O18" s="122">
        <v>2</v>
      </c>
    </row>
    <row r="19" spans="2:15" ht="25.5" customHeight="1" x14ac:dyDescent="0.35">
      <c r="B19" s="69" t="s">
        <v>227</v>
      </c>
      <c r="C19" s="74" t="s">
        <v>0</v>
      </c>
      <c r="D19" s="71" t="s">
        <v>94</v>
      </c>
      <c r="E19" s="129" t="str">
        <f>IFERROR('Moamen Mohamed Ahmed Ibrahim'!J22,"")</f>
        <v/>
      </c>
      <c r="F19" s="129" t="str">
        <f>IFERROR('Ahmed Abdel-Maugod'!J22,"")</f>
        <v/>
      </c>
      <c r="G19" s="129" t="str">
        <f>IFERROR('Moteeb Albaqami'!J22,"")</f>
        <v/>
      </c>
      <c r="H19" s="129" t="str">
        <f>IFERROR('Anny Rodrigues de Assis '!J22,"")</f>
        <v/>
      </c>
      <c r="I19" s="129" t="str">
        <f>IFERROR('Eduardo Salles de Carvalho'!J22,"")</f>
        <v/>
      </c>
      <c r="J19" s="129" t="str">
        <f>IFERROR('Marco Antonio Martins'!J22,"")</f>
        <v/>
      </c>
      <c r="K19" s="136" t="str">
        <f t="shared" si="0"/>
        <v/>
      </c>
      <c r="M19" s="122" t="s">
        <v>228</v>
      </c>
      <c r="N19" s="122" t="str">
        <f t="shared" si="1"/>
        <v/>
      </c>
      <c r="O19" s="122">
        <v>2</v>
      </c>
    </row>
    <row r="20" spans="2:15" ht="25.5" customHeight="1" x14ac:dyDescent="0.35">
      <c r="B20" s="20" t="s">
        <v>229</v>
      </c>
      <c r="C20" s="75" t="s">
        <v>0</v>
      </c>
      <c r="D20" s="73" t="s">
        <v>94</v>
      </c>
      <c r="E20" s="130" t="str">
        <f>IFERROR('Moamen Mohamed Ahmed Ibrahim'!J23,"")</f>
        <v/>
      </c>
      <c r="F20" s="130" t="str">
        <f>IFERROR('Ahmed Abdel-Maugod'!J23,"")</f>
        <v/>
      </c>
      <c r="G20" s="130" t="str">
        <f>IFERROR('Moteeb Albaqami'!J23,"")</f>
        <v/>
      </c>
      <c r="H20" s="130" t="str">
        <f>IFERROR('Anny Rodrigues de Assis '!J23,"")</f>
        <v/>
      </c>
      <c r="I20" s="130" t="str">
        <f>IFERROR('Eduardo Salles de Carvalho'!J23,"")</f>
        <v/>
      </c>
      <c r="J20" s="130" t="str">
        <f>IFERROR('Marco Antonio Martins'!J23,"")</f>
        <v/>
      </c>
      <c r="K20" s="136" t="str">
        <f t="shared" si="0"/>
        <v/>
      </c>
      <c r="M20" s="122" t="s">
        <v>230</v>
      </c>
      <c r="N20" s="122" t="str">
        <f t="shared" si="1"/>
        <v/>
      </c>
      <c r="O20" s="122">
        <v>2</v>
      </c>
    </row>
    <row r="21" spans="2:15" ht="25.5" customHeight="1" x14ac:dyDescent="0.35">
      <c r="B21" s="69" t="s">
        <v>231</v>
      </c>
      <c r="C21" s="74" t="s">
        <v>93</v>
      </c>
      <c r="D21" s="71" t="s">
        <v>94</v>
      </c>
      <c r="E21" s="129" t="str">
        <f>IFERROR('Moamen Mohamed Ahmed Ibrahim'!J24,"")</f>
        <v/>
      </c>
      <c r="F21" s="129" t="str">
        <f>IFERROR('Ahmed Abdel-Maugod'!J24,"")</f>
        <v/>
      </c>
      <c r="G21" s="129" t="str">
        <f>IFERROR('Moteeb Albaqami'!J24,"")</f>
        <v/>
      </c>
      <c r="H21" s="129" t="str">
        <f>IFERROR('Anny Rodrigues de Assis '!J24,"")</f>
        <v/>
      </c>
      <c r="I21" s="129" t="str">
        <f>IFERROR('Eduardo Salles de Carvalho'!J24,"")</f>
        <v/>
      </c>
      <c r="J21" s="129" t="str">
        <f>IFERROR('Marco Antonio Martins'!J24,"")</f>
        <v/>
      </c>
      <c r="K21" s="136" t="str">
        <f t="shared" si="0"/>
        <v/>
      </c>
      <c r="M21" s="122" t="s">
        <v>232</v>
      </c>
      <c r="N21" s="122" t="str">
        <f t="shared" si="1"/>
        <v/>
      </c>
      <c r="O21" s="122">
        <v>2</v>
      </c>
    </row>
    <row r="22" spans="2:15" ht="25.5" customHeight="1" x14ac:dyDescent="0.35">
      <c r="B22" s="20" t="s">
        <v>233</v>
      </c>
      <c r="C22" s="75" t="s">
        <v>93</v>
      </c>
      <c r="D22" s="73" t="s">
        <v>94</v>
      </c>
      <c r="E22" s="130" t="str">
        <f>IFERROR('Moamen Mohamed Ahmed Ibrahim'!J25,"")</f>
        <v/>
      </c>
      <c r="F22" s="130" t="str">
        <f>IFERROR('Ahmed Abdel-Maugod'!J25,"")</f>
        <v/>
      </c>
      <c r="G22" s="130" t="str">
        <f>IFERROR('Moteeb Albaqami'!J25,"")</f>
        <v/>
      </c>
      <c r="H22" s="130" t="str">
        <f>IFERROR('Anny Rodrigues de Assis '!J25,"")</f>
        <v/>
      </c>
      <c r="I22" s="130" t="str">
        <f>IFERROR('Eduardo Salles de Carvalho'!J25,"")</f>
        <v/>
      </c>
      <c r="J22" s="130" t="str">
        <f>IFERROR('Marco Antonio Martins'!J25,"")</f>
        <v/>
      </c>
      <c r="K22" s="136" t="str">
        <f t="shared" si="0"/>
        <v/>
      </c>
      <c r="M22" s="122" t="s">
        <v>234</v>
      </c>
      <c r="N22" s="122" t="str">
        <f t="shared" si="1"/>
        <v/>
      </c>
      <c r="O22" s="122">
        <v>2</v>
      </c>
    </row>
    <row r="23" spans="2:15" ht="25.5" customHeight="1" x14ac:dyDescent="0.35">
      <c r="B23" s="76" t="s">
        <v>235</v>
      </c>
      <c r="C23" s="77" t="s">
        <v>155</v>
      </c>
      <c r="D23" s="78" t="s">
        <v>88</v>
      </c>
      <c r="E23" s="131" t="str">
        <f>IFERROR('Moamen Mohamed Ahmed Ibrahim'!J26,"")</f>
        <v/>
      </c>
      <c r="F23" s="131" t="str">
        <f>IFERROR('Ahmed Abdel-Maugod'!J26,"")</f>
        <v/>
      </c>
      <c r="G23" s="131" t="str">
        <f>IFERROR('Moteeb Albaqami'!J26,"")</f>
        <v/>
      </c>
      <c r="H23" s="131" t="str">
        <f>IFERROR('Anny Rodrigues de Assis '!J26,"")</f>
        <v/>
      </c>
      <c r="I23" s="131" t="str">
        <f>IFERROR('Eduardo Salles de Carvalho'!J26,"")</f>
        <v/>
      </c>
      <c r="J23" s="131" t="str">
        <f>IFERROR('Marco Antonio Martins'!J26,"")</f>
        <v/>
      </c>
      <c r="K23" s="136" t="str">
        <f t="shared" si="0"/>
        <v/>
      </c>
      <c r="M23" s="122" t="s">
        <v>236</v>
      </c>
      <c r="N23" s="122" t="str">
        <f t="shared" si="1"/>
        <v/>
      </c>
      <c r="O23" s="122">
        <v>2</v>
      </c>
    </row>
    <row r="24" spans="2:15" ht="25.5" customHeight="1" x14ac:dyDescent="0.35">
      <c r="B24" s="24" t="s">
        <v>237</v>
      </c>
      <c r="C24" s="79" t="s">
        <v>155</v>
      </c>
      <c r="D24" s="80" t="s">
        <v>94</v>
      </c>
      <c r="E24" s="132" t="str">
        <f>IFERROR('Moamen Mohamed Ahmed Ibrahim'!J27,"")</f>
        <v/>
      </c>
      <c r="F24" s="132" t="str">
        <f>IFERROR('Ahmed Abdel-Maugod'!J27,"")</f>
        <v/>
      </c>
      <c r="G24" s="132" t="str">
        <f>IFERROR('Moteeb Albaqami'!J27,"")</f>
        <v/>
      </c>
      <c r="H24" s="132" t="str">
        <f>IFERROR('Anny Rodrigues de Assis '!J27,"")</f>
        <v/>
      </c>
      <c r="I24" s="132" t="str">
        <f>IFERROR('Eduardo Salles de Carvalho'!J27,"")</f>
        <v/>
      </c>
      <c r="J24" s="132" t="str">
        <f>IFERROR('Marco Antonio Martins'!J27,"")</f>
        <v/>
      </c>
      <c r="K24" s="136" t="str">
        <f t="shared" si="0"/>
        <v/>
      </c>
      <c r="M24" s="122" t="s">
        <v>238</v>
      </c>
      <c r="N24" s="122" t="str">
        <f t="shared" si="1"/>
        <v/>
      </c>
      <c r="O24" s="122">
        <v>2</v>
      </c>
    </row>
    <row r="25" spans="2:15" ht="25.5" customHeight="1" x14ac:dyDescent="0.35">
      <c r="B25" s="76" t="s">
        <v>239</v>
      </c>
      <c r="C25" s="77" t="s">
        <v>155</v>
      </c>
      <c r="D25" s="81" t="s">
        <v>94</v>
      </c>
      <c r="E25" s="131" t="str">
        <f>IFERROR('Moamen Mohamed Ahmed Ibrahim'!J28,"")</f>
        <v/>
      </c>
      <c r="F25" s="131" t="str">
        <f>IFERROR('Ahmed Abdel-Maugod'!J28,"")</f>
        <v/>
      </c>
      <c r="G25" s="131" t="str">
        <f>IFERROR('Moteeb Albaqami'!J28,"")</f>
        <v/>
      </c>
      <c r="H25" s="131" t="str">
        <f>IFERROR('Anny Rodrigues de Assis '!J28,"")</f>
        <v/>
      </c>
      <c r="I25" s="131" t="str">
        <f>IFERROR('Eduardo Salles de Carvalho'!J28,"")</f>
        <v/>
      </c>
      <c r="J25" s="131" t="str">
        <f>IFERROR('Marco Antonio Martins'!J28,"")</f>
        <v/>
      </c>
      <c r="K25" s="136" t="str">
        <f t="shared" si="0"/>
        <v/>
      </c>
      <c r="M25" s="122" t="s">
        <v>240</v>
      </c>
      <c r="N25" s="122" t="str">
        <f t="shared" si="1"/>
        <v/>
      </c>
      <c r="O25" s="122">
        <v>2</v>
      </c>
    </row>
    <row r="26" spans="2:15" ht="25.5" customHeight="1" x14ac:dyDescent="0.35">
      <c r="B26" s="24" t="s">
        <v>241</v>
      </c>
      <c r="C26" s="79" t="s">
        <v>155</v>
      </c>
      <c r="D26" s="80" t="s">
        <v>94</v>
      </c>
      <c r="E26" s="132" t="str">
        <f>IFERROR('Moamen Mohamed Ahmed Ibrahim'!J29,"")</f>
        <v/>
      </c>
      <c r="F26" s="132" t="str">
        <f>IFERROR('Ahmed Abdel-Maugod'!J29,"")</f>
        <v/>
      </c>
      <c r="G26" s="132" t="str">
        <f>IFERROR('Moteeb Albaqami'!J29,"")</f>
        <v/>
      </c>
      <c r="H26" s="132" t="str">
        <f>IFERROR('Anny Rodrigues de Assis '!J29,"")</f>
        <v/>
      </c>
      <c r="I26" s="132" t="str">
        <f>IFERROR('Eduardo Salles de Carvalho'!J29,"")</f>
        <v/>
      </c>
      <c r="J26" s="132" t="str">
        <f>IFERROR('Marco Antonio Martins'!J29,"")</f>
        <v/>
      </c>
      <c r="K26" s="136" t="str">
        <f t="shared" si="0"/>
        <v/>
      </c>
      <c r="M26" s="122" t="s">
        <v>242</v>
      </c>
      <c r="N26" s="122" t="str">
        <f t="shared" si="1"/>
        <v/>
      </c>
      <c r="O26" s="122">
        <v>2</v>
      </c>
    </row>
    <row r="27" spans="2:15" ht="25.5" customHeight="1" x14ac:dyDescent="0.35">
      <c r="B27" s="82" t="s">
        <v>243</v>
      </c>
      <c r="C27" s="83" t="s">
        <v>174</v>
      </c>
      <c r="D27" s="84" t="s">
        <v>88</v>
      </c>
      <c r="E27" s="133" t="str">
        <f>IFERROR('Moamen Mohamed Ahmed Ibrahim'!J30,"")</f>
        <v/>
      </c>
      <c r="F27" s="133" t="str">
        <f>IFERROR('Ahmed Abdel-Maugod'!J30,"")</f>
        <v/>
      </c>
      <c r="G27" s="133" t="str">
        <f>IFERROR('Moteeb Albaqami'!J30,"")</f>
        <v/>
      </c>
      <c r="H27" s="133" t="str">
        <f>IFERROR('Anny Rodrigues de Assis '!J30,"")</f>
        <v/>
      </c>
      <c r="I27" s="133" t="str">
        <f>IFERROR('Eduardo Salles de Carvalho'!J30,"")</f>
        <v/>
      </c>
      <c r="J27" s="133" t="str">
        <f>IFERROR('Marco Antonio Martins'!J30,"")</f>
        <v/>
      </c>
      <c r="K27" s="136" t="str">
        <f t="shared" si="0"/>
        <v/>
      </c>
      <c r="M27" s="122" t="s">
        <v>244</v>
      </c>
      <c r="N27" s="122" t="str">
        <f t="shared" si="1"/>
        <v/>
      </c>
      <c r="O27" s="122">
        <v>2</v>
      </c>
    </row>
    <row r="28" spans="2:15" ht="25.5" customHeight="1" x14ac:dyDescent="0.35">
      <c r="B28" s="28" t="s">
        <v>245</v>
      </c>
      <c r="C28" s="85" t="s">
        <v>174</v>
      </c>
      <c r="D28" s="86" t="s">
        <v>94</v>
      </c>
      <c r="E28" s="134" t="str">
        <f>IFERROR('Moamen Mohamed Ahmed Ibrahim'!J31,"")</f>
        <v/>
      </c>
      <c r="F28" s="134" t="str">
        <f>IFERROR('Ahmed Abdel-Maugod'!J31,"")</f>
        <v/>
      </c>
      <c r="G28" s="134" t="str">
        <f>IFERROR('Moteeb Albaqami'!J31,"")</f>
        <v/>
      </c>
      <c r="H28" s="134" t="str">
        <f>IFERROR('Anny Rodrigues de Assis '!J31,"")</f>
        <v/>
      </c>
      <c r="I28" s="134" t="str">
        <f>IFERROR('Eduardo Salles de Carvalho'!J31,"")</f>
        <v/>
      </c>
      <c r="J28" s="134" t="str">
        <f>IFERROR('Marco Antonio Martins'!J31,"")</f>
        <v/>
      </c>
      <c r="K28" s="136" t="str">
        <f t="shared" si="0"/>
        <v/>
      </c>
      <c r="M28" s="122" t="s">
        <v>246</v>
      </c>
      <c r="N28" s="122" t="str">
        <f t="shared" si="1"/>
        <v/>
      </c>
      <c r="O28" s="122">
        <v>2</v>
      </c>
    </row>
    <row r="29" spans="2:15" ht="25.5" customHeight="1" x14ac:dyDescent="0.35">
      <c r="B29" s="82" t="s">
        <v>247</v>
      </c>
      <c r="C29" s="83" t="s">
        <v>174</v>
      </c>
      <c r="D29" s="87" t="s">
        <v>94</v>
      </c>
      <c r="E29" s="133" t="str">
        <f>IFERROR('Moamen Mohamed Ahmed Ibrahim'!J32,"")</f>
        <v/>
      </c>
      <c r="F29" s="133" t="str">
        <f>IFERROR('Ahmed Abdel-Maugod'!J32,"")</f>
        <v/>
      </c>
      <c r="G29" s="133" t="str">
        <f>IFERROR('Moteeb Albaqami'!J32,"")</f>
        <v/>
      </c>
      <c r="H29" s="133" t="str">
        <f>IFERROR('Anny Rodrigues de Assis '!J32,"")</f>
        <v/>
      </c>
      <c r="I29" s="133" t="str">
        <f>IFERROR('Eduardo Salles de Carvalho'!J32,"")</f>
        <v/>
      </c>
      <c r="J29" s="133" t="str">
        <f>IFERROR('Marco Antonio Martins'!J32,"")</f>
        <v/>
      </c>
      <c r="K29" s="136" t="str">
        <f t="shared" si="0"/>
        <v/>
      </c>
      <c r="M29" s="122" t="s">
        <v>248</v>
      </c>
      <c r="N29" s="122" t="str">
        <f t="shared" si="1"/>
        <v/>
      </c>
      <c r="O29" s="122">
        <v>2</v>
      </c>
    </row>
    <row r="30" spans="2:15" ht="25.5" customHeight="1" x14ac:dyDescent="0.35">
      <c r="B30" s="170" t="s">
        <v>303</v>
      </c>
      <c r="C30" s="170"/>
      <c r="D30" s="170"/>
      <c r="E30" s="137" t="str">
        <f t="shared" ref="E30:J30" si="2">IFERROR(AVERAGE(E8:E29),"")</f>
        <v/>
      </c>
      <c r="F30" s="137" t="str">
        <f t="shared" si="2"/>
        <v/>
      </c>
      <c r="G30" s="137" t="str">
        <f t="shared" si="2"/>
        <v/>
      </c>
      <c r="H30" s="137" t="str">
        <f t="shared" si="2"/>
        <v/>
      </c>
      <c r="I30" s="137" t="str">
        <f t="shared" si="2"/>
        <v/>
      </c>
      <c r="J30" s="137" t="str">
        <f t="shared" si="2"/>
        <v/>
      </c>
    </row>
  </sheetData>
  <mergeCells count="5">
    <mergeCell ref="B2:C4"/>
    <mergeCell ref="D2:Z2"/>
    <mergeCell ref="D3:Z4"/>
    <mergeCell ref="B5:Z5"/>
    <mergeCell ref="B30:D30"/>
  </mergeCells>
  <conditionalFormatting sqref="E8:J29">
    <cfRule type="cellIs" dxfId="8" priority="2" operator="equal">
      <formula>1</formula>
    </cfRule>
    <cfRule type="cellIs" dxfId="7" priority="3" operator="equal">
      <formula>2</formula>
    </cfRule>
    <cfRule type="cellIs" dxfId="6" priority="4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D4520A"/>
  </sheetPr>
  <dimension ref="A1:AH30"/>
  <sheetViews>
    <sheetView showGridLines="0" showRowColHeader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54296875" defaultRowHeight="14.5" x14ac:dyDescent="0.35"/>
  <cols>
    <col min="1" max="1" width="1.54296875" customWidth="1"/>
    <col min="2" max="2" width="26" customWidth="1"/>
    <col min="3" max="4" width="6" customWidth="1"/>
    <col min="5" max="10" width="11" customWidth="1"/>
    <col min="11" max="11" width="10" customWidth="1"/>
    <col min="12" max="12" width="1.54296875" customWidth="1"/>
    <col min="13" max="15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325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326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7.5" customHeight="1" x14ac:dyDescent="0.35">
      <c r="B7" s="118" t="s">
        <v>78</v>
      </c>
      <c r="C7" s="118" t="s">
        <v>80</v>
      </c>
      <c r="D7" s="118" t="s">
        <v>308</v>
      </c>
      <c r="E7" s="98" t="s">
        <v>327</v>
      </c>
      <c r="F7" s="98" t="s">
        <v>328</v>
      </c>
      <c r="G7" s="98" t="s">
        <v>329</v>
      </c>
      <c r="H7" s="98" t="s">
        <v>330</v>
      </c>
      <c r="I7" s="98" t="s">
        <v>331</v>
      </c>
      <c r="J7" s="98" t="s">
        <v>332</v>
      </c>
      <c r="K7" s="138" t="s">
        <v>315</v>
      </c>
      <c r="M7" s="45" t="s">
        <v>78</v>
      </c>
      <c r="N7" s="45" t="s">
        <v>316</v>
      </c>
      <c r="O7" s="45" t="s">
        <v>206</v>
      </c>
    </row>
    <row r="8" spans="1:34" ht="25.5" customHeight="1" x14ac:dyDescent="0.35">
      <c r="B8" s="5" t="s">
        <v>207</v>
      </c>
      <c r="C8" s="4" t="s">
        <v>0</v>
      </c>
      <c r="D8" s="4" t="s">
        <v>88</v>
      </c>
      <c r="E8" s="120" t="str">
        <f>IFERROR('AM13'!J11,"")</f>
        <v/>
      </c>
      <c r="F8" s="120" t="str">
        <f>IFERROR('AM14'!J11,"")</f>
        <v/>
      </c>
      <c r="G8" s="120" t="str">
        <f>IFERROR('AM15'!J11,"")</f>
        <v/>
      </c>
      <c r="H8" s="120" t="str">
        <f>IFERROR('AM16'!J11,"")</f>
        <v/>
      </c>
      <c r="I8" s="120" t="str">
        <f>IFERROR('AM17'!J11,"")</f>
        <v/>
      </c>
      <c r="J8" s="120" t="str">
        <f>IFERROR('AM18'!J11,"")</f>
        <v/>
      </c>
      <c r="K8" s="139" t="str">
        <f t="shared" ref="K8:K29" si="0">IFERROR(AVERAGE(E8,F8,G8,H8,I8,J8),"")</f>
        <v/>
      </c>
      <c r="M8" s="122" t="s">
        <v>208</v>
      </c>
      <c r="N8" s="122" t="str">
        <f t="shared" ref="N8:N29" si="1">K8</f>
        <v/>
      </c>
      <c r="O8" s="122">
        <v>2</v>
      </c>
    </row>
    <row r="9" spans="1:34" ht="25.5" customHeight="1" x14ac:dyDescent="0.35">
      <c r="B9" s="53" t="s">
        <v>209</v>
      </c>
      <c r="C9" s="54" t="s">
        <v>93</v>
      </c>
      <c r="D9" s="55" t="s">
        <v>94</v>
      </c>
      <c r="E9" s="123" t="str">
        <f>IFERROR('AM13'!J12,"")</f>
        <v/>
      </c>
      <c r="F9" s="123" t="str">
        <f>IFERROR('AM14'!J12,"")</f>
        <v/>
      </c>
      <c r="G9" s="123" t="str">
        <f>IFERROR('AM15'!J12,"")</f>
        <v/>
      </c>
      <c r="H9" s="123" t="str">
        <f>IFERROR('AM16'!J12,"")</f>
        <v/>
      </c>
      <c r="I9" s="123" t="str">
        <f>IFERROR('AM17'!J12,"")</f>
        <v/>
      </c>
      <c r="J9" s="123" t="str">
        <f>IFERROR('AM18'!J12,"")</f>
        <v/>
      </c>
      <c r="K9" s="139" t="str">
        <f t="shared" si="0"/>
        <v/>
      </c>
      <c r="M9" s="122" t="s">
        <v>210</v>
      </c>
      <c r="N9" s="122" t="str">
        <f t="shared" si="1"/>
        <v/>
      </c>
      <c r="O9" s="122">
        <v>2</v>
      </c>
    </row>
    <row r="10" spans="1:34" ht="25.5" customHeight="1" x14ac:dyDescent="0.35">
      <c r="B10" s="12" t="s">
        <v>211</v>
      </c>
      <c r="C10" s="61" t="s">
        <v>0</v>
      </c>
      <c r="D10" s="57" t="s">
        <v>94</v>
      </c>
      <c r="E10" s="124" t="str">
        <f>IFERROR('AM13'!J13,"")</f>
        <v/>
      </c>
      <c r="F10" s="124" t="str">
        <f>IFERROR('AM14'!J13,"")</f>
        <v/>
      </c>
      <c r="G10" s="124" t="str">
        <f>IFERROR('AM15'!J13,"")</f>
        <v/>
      </c>
      <c r="H10" s="124" t="str">
        <f>IFERROR('AM16'!J13,"")</f>
        <v/>
      </c>
      <c r="I10" s="124" t="str">
        <f>IFERROR('AM17'!J13,"")</f>
        <v/>
      </c>
      <c r="J10" s="124" t="str">
        <f>IFERROR('AM18'!J13,"")</f>
        <v/>
      </c>
      <c r="K10" s="139" t="str">
        <f t="shared" si="0"/>
        <v/>
      </c>
      <c r="M10" s="122" t="s">
        <v>212</v>
      </c>
      <c r="N10" s="122" t="str">
        <f t="shared" si="1"/>
        <v/>
      </c>
      <c r="O10" s="122">
        <v>2</v>
      </c>
    </row>
    <row r="11" spans="1:34" ht="25.5" customHeight="1" x14ac:dyDescent="0.35">
      <c r="B11" s="58" t="s">
        <v>213</v>
      </c>
      <c r="C11" s="125" t="s">
        <v>0</v>
      </c>
      <c r="D11" s="60" t="s">
        <v>94</v>
      </c>
      <c r="E11" s="126" t="str">
        <f>IFERROR('AM13'!J14,"")</f>
        <v/>
      </c>
      <c r="F11" s="126" t="str">
        <f>IFERROR('AM14'!J14,"")</f>
        <v/>
      </c>
      <c r="G11" s="126" t="str">
        <f>IFERROR('AM15'!J14,"")</f>
        <v/>
      </c>
      <c r="H11" s="126" t="str">
        <f>IFERROR('AM16'!J14,"")</f>
        <v/>
      </c>
      <c r="I11" s="126" t="str">
        <f>IFERROR('AM17'!J14,"")</f>
        <v/>
      </c>
      <c r="J11" s="126" t="str">
        <f>IFERROR('AM18'!J14,"")</f>
        <v/>
      </c>
      <c r="K11" s="139" t="str">
        <f t="shared" si="0"/>
        <v/>
      </c>
      <c r="M11" s="122" t="s">
        <v>213</v>
      </c>
      <c r="N11" s="122" t="str">
        <f t="shared" si="1"/>
        <v/>
      </c>
      <c r="O11" s="122">
        <v>2</v>
      </c>
    </row>
    <row r="12" spans="1:34" ht="25.5" customHeight="1" x14ac:dyDescent="0.35">
      <c r="B12" s="12" t="s">
        <v>214</v>
      </c>
      <c r="C12" s="61" t="s">
        <v>93</v>
      </c>
      <c r="D12" s="57" t="s">
        <v>94</v>
      </c>
      <c r="E12" s="124" t="str">
        <f>IFERROR('AM13'!J15,"")</f>
        <v/>
      </c>
      <c r="F12" s="124" t="str">
        <f>IFERROR('AM14'!J15,"")</f>
        <v/>
      </c>
      <c r="G12" s="124" t="str">
        <f>IFERROR('AM15'!J15,"")</f>
        <v/>
      </c>
      <c r="H12" s="124" t="str">
        <f>IFERROR('AM16'!J15,"")</f>
        <v/>
      </c>
      <c r="I12" s="124" t="str">
        <f>IFERROR('AM17'!J15,"")</f>
        <v/>
      </c>
      <c r="J12" s="124" t="str">
        <f>IFERROR('AM18'!J15,"")</f>
        <v/>
      </c>
      <c r="K12" s="139" t="str">
        <f t="shared" si="0"/>
        <v/>
      </c>
      <c r="M12" s="122" t="s">
        <v>215</v>
      </c>
      <c r="N12" s="122" t="str">
        <f t="shared" si="1"/>
        <v/>
      </c>
      <c r="O12" s="122">
        <v>2</v>
      </c>
    </row>
    <row r="13" spans="1:34" ht="25.5" customHeight="1" x14ac:dyDescent="0.35">
      <c r="B13" s="62" t="s">
        <v>216</v>
      </c>
      <c r="C13" s="68" t="s">
        <v>0</v>
      </c>
      <c r="D13" s="64" t="s">
        <v>94</v>
      </c>
      <c r="E13" s="127" t="str">
        <f>IFERROR('AM13'!J16,"")</f>
        <v/>
      </c>
      <c r="F13" s="127" t="str">
        <f>IFERROR('AM14'!J16,"")</f>
        <v/>
      </c>
      <c r="G13" s="127" t="str">
        <f>IFERROR('AM15'!J16,"")</f>
        <v/>
      </c>
      <c r="H13" s="127" t="str">
        <f>IFERROR('AM16'!J16,"")</f>
        <v/>
      </c>
      <c r="I13" s="127" t="str">
        <f>IFERROR('AM17'!J16,"")</f>
        <v/>
      </c>
      <c r="J13" s="127" t="str">
        <f>IFERROR('AM18'!J16,"")</f>
        <v/>
      </c>
      <c r="K13" s="139" t="str">
        <f t="shared" si="0"/>
        <v/>
      </c>
      <c r="M13" s="122" t="s">
        <v>217</v>
      </c>
      <c r="N13" s="122" t="str">
        <f t="shared" si="1"/>
        <v/>
      </c>
      <c r="O13" s="122">
        <v>2</v>
      </c>
    </row>
    <row r="14" spans="1:34" ht="25.5" customHeight="1" x14ac:dyDescent="0.35">
      <c r="B14" s="16" t="s">
        <v>218</v>
      </c>
      <c r="C14" s="67" t="s">
        <v>0</v>
      </c>
      <c r="D14" s="66" t="s">
        <v>94</v>
      </c>
      <c r="E14" s="128" t="str">
        <f>IFERROR('AM13'!J17,"")</f>
        <v/>
      </c>
      <c r="F14" s="128" t="str">
        <f>IFERROR('AM14'!J17,"")</f>
        <v/>
      </c>
      <c r="G14" s="128" t="str">
        <f>IFERROR('AM15'!J17,"")</f>
        <v/>
      </c>
      <c r="H14" s="128" t="str">
        <f>IFERROR('AM16'!J17,"")</f>
        <v/>
      </c>
      <c r="I14" s="128" t="str">
        <f>IFERROR('AM17'!J17,"")</f>
        <v/>
      </c>
      <c r="J14" s="128" t="str">
        <f>IFERROR('AM18'!J17,"")</f>
        <v/>
      </c>
      <c r="K14" s="139" t="str">
        <f t="shared" si="0"/>
        <v/>
      </c>
      <c r="M14" s="122" t="s">
        <v>219</v>
      </c>
      <c r="N14" s="122" t="str">
        <f t="shared" si="1"/>
        <v/>
      </c>
      <c r="O14" s="122">
        <v>2</v>
      </c>
    </row>
    <row r="15" spans="1:34" ht="25.5" customHeight="1" x14ac:dyDescent="0.35">
      <c r="B15" s="62" t="s">
        <v>220</v>
      </c>
      <c r="C15" s="68" t="s">
        <v>0</v>
      </c>
      <c r="D15" s="64" t="s">
        <v>94</v>
      </c>
      <c r="E15" s="127" t="str">
        <f>IFERROR('AM13'!J18,"")</f>
        <v/>
      </c>
      <c r="F15" s="127" t="str">
        <f>IFERROR('AM14'!J18,"")</f>
        <v/>
      </c>
      <c r="G15" s="127" t="str">
        <f>IFERROR('AM15'!J18,"")</f>
        <v/>
      </c>
      <c r="H15" s="127" t="str">
        <f>IFERROR('AM16'!J18,"")</f>
        <v/>
      </c>
      <c r="I15" s="127" t="str">
        <f>IFERROR('AM17'!J18,"")</f>
        <v/>
      </c>
      <c r="J15" s="127" t="str">
        <f>IFERROR('AM18'!J18,"")</f>
        <v/>
      </c>
      <c r="K15" s="139" t="str">
        <f t="shared" si="0"/>
        <v/>
      </c>
      <c r="M15" s="122" t="s">
        <v>221</v>
      </c>
      <c r="N15" s="122" t="str">
        <f t="shared" si="1"/>
        <v/>
      </c>
      <c r="O15" s="122">
        <v>2</v>
      </c>
    </row>
    <row r="16" spans="1:34" ht="25.5" customHeight="1" x14ac:dyDescent="0.35">
      <c r="B16" s="16" t="s">
        <v>124</v>
      </c>
      <c r="C16" s="67" t="s">
        <v>93</v>
      </c>
      <c r="D16" s="66" t="s">
        <v>94</v>
      </c>
      <c r="E16" s="128" t="str">
        <f>IFERROR('AM13'!J19,"")</f>
        <v/>
      </c>
      <c r="F16" s="128" t="str">
        <f>IFERROR('AM14'!J19,"")</f>
        <v/>
      </c>
      <c r="G16" s="128" t="str">
        <f>IFERROR('AM15'!J19,"")</f>
        <v/>
      </c>
      <c r="H16" s="128" t="str">
        <f>IFERROR('AM16'!J19,"")</f>
        <v/>
      </c>
      <c r="I16" s="128" t="str">
        <f>IFERROR('AM17'!J19,"")</f>
        <v/>
      </c>
      <c r="J16" s="128" t="str">
        <f>IFERROR('AM18'!J19,"")</f>
        <v/>
      </c>
      <c r="K16" s="139" t="str">
        <f t="shared" si="0"/>
        <v/>
      </c>
      <c r="M16" s="122" t="s">
        <v>222</v>
      </c>
      <c r="N16" s="122" t="str">
        <f t="shared" si="1"/>
        <v/>
      </c>
      <c r="O16" s="122">
        <v>2</v>
      </c>
    </row>
    <row r="17" spans="2:15" ht="25.5" customHeight="1" x14ac:dyDescent="0.35">
      <c r="B17" s="62" t="s">
        <v>223</v>
      </c>
      <c r="C17" s="68" t="s">
        <v>93</v>
      </c>
      <c r="D17" s="64" t="s">
        <v>94</v>
      </c>
      <c r="E17" s="127" t="str">
        <f>IFERROR('AM13'!J20,"")</f>
        <v/>
      </c>
      <c r="F17" s="127" t="str">
        <f>IFERROR('AM14'!J20,"")</f>
        <v/>
      </c>
      <c r="G17" s="127" t="str">
        <f>IFERROR('AM15'!J20,"")</f>
        <v/>
      </c>
      <c r="H17" s="127" t="str">
        <f>IFERROR('AM16'!J20,"")</f>
        <v/>
      </c>
      <c r="I17" s="127" t="str">
        <f>IFERROR('AM17'!J20,"")</f>
        <v/>
      </c>
      <c r="J17" s="127" t="str">
        <f>IFERROR('AM18'!J20,"")</f>
        <v/>
      </c>
      <c r="K17" s="139" t="str">
        <f t="shared" si="0"/>
        <v/>
      </c>
      <c r="M17" s="122" t="s">
        <v>224</v>
      </c>
      <c r="N17" s="122" t="str">
        <f t="shared" si="1"/>
        <v/>
      </c>
      <c r="O17" s="122">
        <v>2</v>
      </c>
    </row>
    <row r="18" spans="2:15" ht="25.5" customHeight="1" x14ac:dyDescent="0.35">
      <c r="B18" s="16" t="s">
        <v>225</v>
      </c>
      <c r="C18" s="67" t="s">
        <v>93</v>
      </c>
      <c r="D18" s="66" t="s">
        <v>94</v>
      </c>
      <c r="E18" s="128" t="str">
        <f>IFERROR('AM13'!J21,"")</f>
        <v/>
      </c>
      <c r="F18" s="128" t="str">
        <f>IFERROR('AM14'!J21,"")</f>
        <v/>
      </c>
      <c r="G18" s="128" t="str">
        <f>IFERROR('AM15'!J21,"")</f>
        <v/>
      </c>
      <c r="H18" s="128" t="str">
        <f>IFERROR('AM16'!J21,"")</f>
        <v/>
      </c>
      <c r="I18" s="128" t="str">
        <f>IFERROR('AM17'!J21,"")</f>
        <v/>
      </c>
      <c r="J18" s="128" t="str">
        <f>IFERROR('AM18'!J21,"")</f>
        <v/>
      </c>
      <c r="K18" s="139" t="str">
        <f t="shared" si="0"/>
        <v/>
      </c>
      <c r="M18" s="122" t="s">
        <v>226</v>
      </c>
      <c r="N18" s="122" t="str">
        <f t="shared" si="1"/>
        <v/>
      </c>
      <c r="O18" s="122">
        <v>2</v>
      </c>
    </row>
    <row r="19" spans="2:15" ht="25.5" customHeight="1" x14ac:dyDescent="0.35">
      <c r="B19" s="69" t="s">
        <v>227</v>
      </c>
      <c r="C19" s="74" t="s">
        <v>0</v>
      </c>
      <c r="D19" s="71" t="s">
        <v>94</v>
      </c>
      <c r="E19" s="129" t="str">
        <f>IFERROR('AM13'!J22,"")</f>
        <v/>
      </c>
      <c r="F19" s="129" t="str">
        <f>IFERROR('AM14'!J22,"")</f>
        <v/>
      </c>
      <c r="G19" s="129" t="str">
        <f>IFERROR('AM15'!J22,"")</f>
        <v/>
      </c>
      <c r="H19" s="129" t="str">
        <f>IFERROR('AM16'!J22,"")</f>
        <v/>
      </c>
      <c r="I19" s="129" t="str">
        <f>IFERROR('AM17'!J22,"")</f>
        <v/>
      </c>
      <c r="J19" s="129" t="str">
        <f>IFERROR('AM18'!J22,"")</f>
        <v/>
      </c>
      <c r="K19" s="139" t="str">
        <f t="shared" si="0"/>
        <v/>
      </c>
      <c r="M19" s="122" t="s">
        <v>228</v>
      </c>
      <c r="N19" s="122" t="str">
        <f t="shared" si="1"/>
        <v/>
      </c>
      <c r="O19" s="122">
        <v>2</v>
      </c>
    </row>
    <row r="20" spans="2:15" ht="25.5" customHeight="1" x14ac:dyDescent="0.35">
      <c r="B20" s="20" t="s">
        <v>229</v>
      </c>
      <c r="C20" s="75" t="s">
        <v>0</v>
      </c>
      <c r="D20" s="73" t="s">
        <v>94</v>
      </c>
      <c r="E20" s="130" t="str">
        <f>IFERROR('AM13'!J23,"")</f>
        <v/>
      </c>
      <c r="F20" s="130" t="str">
        <f>IFERROR('AM14'!J23,"")</f>
        <v/>
      </c>
      <c r="G20" s="130" t="str">
        <f>IFERROR('AM15'!J23,"")</f>
        <v/>
      </c>
      <c r="H20" s="130" t="str">
        <f>IFERROR('AM16'!J23,"")</f>
        <v/>
      </c>
      <c r="I20" s="130" t="str">
        <f>IFERROR('AM17'!J23,"")</f>
        <v/>
      </c>
      <c r="J20" s="130" t="str">
        <f>IFERROR('AM18'!J23,"")</f>
        <v/>
      </c>
      <c r="K20" s="139" t="str">
        <f t="shared" si="0"/>
        <v/>
      </c>
      <c r="M20" s="122" t="s">
        <v>230</v>
      </c>
      <c r="N20" s="122" t="str">
        <f t="shared" si="1"/>
        <v/>
      </c>
      <c r="O20" s="122">
        <v>2</v>
      </c>
    </row>
    <row r="21" spans="2:15" ht="25.5" customHeight="1" x14ac:dyDescent="0.35">
      <c r="B21" s="69" t="s">
        <v>231</v>
      </c>
      <c r="C21" s="74" t="s">
        <v>93</v>
      </c>
      <c r="D21" s="71" t="s">
        <v>94</v>
      </c>
      <c r="E21" s="129" t="str">
        <f>IFERROR('AM13'!J24,"")</f>
        <v/>
      </c>
      <c r="F21" s="129" t="str">
        <f>IFERROR('AM14'!J24,"")</f>
        <v/>
      </c>
      <c r="G21" s="129" t="str">
        <f>IFERROR('AM15'!J24,"")</f>
        <v/>
      </c>
      <c r="H21" s="129" t="str">
        <f>IFERROR('AM16'!J24,"")</f>
        <v/>
      </c>
      <c r="I21" s="129" t="str">
        <f>IFERROR('AM17'!J24,"")</f>
        <v/>
      </c>
      <c r="J21" s="129" t="str">
        <f>IFERROR('AM18'!J24,"")</f>
        <v/>
      </c>
      <c r="K21" s="139" t="str">
        <f t="shared" si="0"/>
        <v/>
      </c>
      <c r="M21" s="122" t="s">
        <v>232</v>
      </c>
      <c r="N21" s="122" t="str">
        <f t="shared" si="1"/>
        <v/>
      </c>
      <c r="O21" s="122">
        <v>2</v>
      </c>
    </row>
    <row r="22" spans="2:15" ht="25.5" customHeight="1" x14ac:dyDescent="0.35">
      <c r="B22" s="20" t="s">
        <v>233</v>
      </c>
      <c r="C22" s="75" t="s">
        <v>93</v>
      </c>
      <c r="D22" s="73" t="s">
        <v>94</v>
      </c>
      <c r="E22" s="130" t="str">
        <f>IFERROR('AM13'!J25,"")</f>
        <v/>
      </c>
      <c r="F22" s="130" t="str">
        <f>IFERROR('AM14'!J25,"")</f>
        <v/>
      </c>
      <c r="G22" s="130" t="str">
        <f>IFERROR('AM15'!J25,"")</f>
        <v/>
      </c>
      <c r="H22" s="130" t="str">
        <f>IFERROR('AM16'!J25,"")</f>
        <v/>
      </c>
      <c r="I22" s="130" t="str">
        <f>IFERROR('AM17'!J25,"")</f>
        <v/>
      </c>
      <c r="J22" s="130" t="str">
        <f>IFERROR('AM18'!J25,"")</f>
        <v/>
      </c>
      <c r="K22" s="139" t="str">
        <f t="shared" si="0"/>
        <v/>
      </c>
      <c r="M22" s="122" t="s">
        <v>234</v>
      </c>
      <c r="N22" s="122" t="str">
        <f t="shared" si="1"/>
        <v/>
      </c>
      <c r="O22" s="122">
        <v>2</v>
      </c>
    </row>
    <row r="23" spans="2:15" ht="25.5" customHeight="1" x14ac:dyDescent="0.35">
      <c r="B23" s="76" t="s">
        <v>235</v>
      </c>
      <c r="C23" s="77" t="s">
        <v>155</v>
      </c>
      <c r="D23" s="78" t="s">
        <v>88</v>
      </c>
      <c r="E23" s="131" t="str">
        <f>IFERROR('AM13'!J26,"")</f>
        <v/>
      </c>
      <c r="F23" s="131" t="str">
        <f>IFERROR('AM14'!J26,"")</f>
        <v/>
      </c>
      <c r="G23" s="131" t="str">
        <f>IFERROR('AM15'!J26,"")</f>
        <v/>
      </c>
      <c r="H23" s="131" t="str">
        <f>IFERROR('AM16'!J26,"")</f>
        <v/>
      </c>
      <c r="I23" s="131" t="str">
        <f>IFERROR('AM17'!J26,"")</f>
        <v/>
      </c>
      <c r="J23" s="131" t="str">
        <f>IFERROR('AM18'!J26,"")</f>
        <v/>
      </c>
      <c r="K23" s="139" t="str">
        <f t="shared" si="0"/>
        <v/>
      </c>
      <c r="M23" s="122" t="s">
        <v>236</v>
      </c>
      <c r="N23" s="122" t="str">
        <f t="shared" si="1"/>
        <v/>
      </c>
      <c r="O23" s="122">
        <v>2</v>
      </c>
    </row>
    <row r="24" spans="2:15" ht="25.5" customHeight="1" x14ac:dyDescent="0.35">
      <c r="B24" s="24" t="s">
        <v>237</v>
      </c>
      <c r="C24" s="79" t="s">
        <v>155</v>
      </c>
      <c r="D24" s="80" t="s">
        <v>94</v>
      </c>
      <c r="E24" s="132" t="str">
        <f>IFERROR('AM13'!J27,"")</f>
        <v/>
      </c>
      <c r="F24" s="132" t="str">
        <f>IFERROR('AM14'!J27,"")</f>
        <v/>
      </c>
      <c r="G24" s="132" t="str">
        <f>IFERROR('AM15'!J27,"")</f>
        <v/>
      </c>
      <c r="H24" s="132" t="str">
        <f>IFERROR('AM16'!J27,"")</f>
        <v/>
      </c>
      <c r="I24" s="132" t="str">
        <f>IFERROR('AM17'!J27,"")</f>
        <v/>
      </c>
      <c r="J24" s="132" t="str">
        <f>IFERROR('AM18'!J27,"")</f>
        <v/>
      </c>
      <c r="K24" s="139" t="str">
        <f t="shared" si="0"/>
        <v/>
      </c>
      <c r="M24" s="122" t="s">
        <v>238</v>
      </c>
      <c r="N24" s="122" t="str">
        <f t="shared" si="1"/>
        <v/>
      </c>
      <c r="O24" s="122">
        <v>2</v>
      </c>
    </row>
    <row r="25" spans="2:15" ht="25.5" customHeight="1" x14ac:dyDescent="0.35">
      <c r="B25" s="76" t="s">
        <v>239</v>
      </c>
      <c r="C25" s="77" t="s">
        <v>155</v>
      </c>
      <c r="D25" s="81" t="s">
        <v>94</v>
      </c>
      <c r="E25" s="131" t="str">
        <f>IFERROR('AM13'!J28,"")</f>
        <v/>
      </c>
      <c r="F25" s="131" t="str">
        <f>IFERROR('AM14'!J28,"")</f>
        <v/>
      </c>
      <c r="G25" s="131" t="str">
        <f>IFERROR('AM15'!J28,"")</f>
        <v/>
      </c>
      <c r="H25" s="131" t="str">
        <f>IFERROR('AM16'!J28,"")</f>
        <v/>
      </c>
      <c r="I25" s="131" t="str">
        <f>IFERROR('AM17'!J28,"")</f>
        <v/>
      </c>
      <c r="J25" s="131" t="str">
        <f>IFERROR('AM18'!J28,"")</f>
        <v/>
      </c>
      <c r="K25" s="139" t="str">
        <f t="shared" si="0"/>
        <v/>
      </c>
      <c r="M25" s="122" t="s">
        <v>240</v>
      </c>
      <c r="N25" s="122" t="str">
        <f t="shared" si="1"/>
        <v/>
      </c>
      <c r="O25" s="122">
        <v>2</v>
      </c>
    </row>
    <row r="26" spans="2:15" ht="25.5" customHeight="1" x14ac:dyDescent="0.35">
      <c r="B26" s="24" t="s">
        <v>241</v>
      </c>
      <c r="C26" s="79" t="s">
        <v>155</v>
      </c>
      <c r="D26" s="80" t="s">
        <v>94</v>
      </c>
      <c r="E26" s="132" t="str">
        <f>IFERROR('AM13'!J29,"")</f>
        <v/>
      </c>
      <c r="F26" s="132" t="str">
        <f>IFERROR('AM14'!J29,"")</f>
        <v/>
      </c>
      <c r="G26" s="132" t="str">
        <f>IFERROR('AM15'!J29,"")</f>
        <v/>
      </c>
      <c r="H26" s="132" t="str">
        <f>IFERROR('AM16'!J29,"")</f>
        <v/>
      </c>
      <c r="I26" s="132" t="str">
        <f>IFERROR('AM17'!J29,"")</f>
        <v/>
      </c>
      <c r="J26" s="132" t="str">
        <f>IFERROR('AM18'!J29,"")</f>
        <v/>
      </c>
      <c r="K26" s="139" t="str">
        <f t="shared" si="0"/>
        <v/>
      </c>
      <c r="M26" s="122" t="s">
        <v>242</v>
      </c>
      <c r="N26" s="122" t="str">
        <f t="shared" si="1"/>
        <v/>
      </c>
      <c r="O26" s="122">
        <v>2</v>
      </c>
    </row>
    <row r="27" spans="2:15" ht="25.5" customHeight="1" x14ac:dyDescent="0.35">
      <c r="B27" s="82" t="s">
        <v>243</v>
      </c>
      <c r="C27" s="83" t="s">
        <v>174</v>
      </c>
      <c r="D27" s="84" t="s">
        <v>88</v>
      </c>
      <c r="E27" s="133" t="str">
        <f>IFERROR('AM13'!J30,"")</f>
        <v/>
      </c>
      <c r="F27" s="133" t="str">
        <f>IFERROR('AM14'!J30,"")</f>
        <v/>
      </c>
      <c r="G27" s="133" t="str">
        <f>IFERROR('AM15'!J30,"")</f>
        <v/>
      </c>
      <c r="H27" s="133" t="str">
        <f>IFERROR('AM16'!J30,"")</f>
        <v/>
      </c>
      <c r="I27" s="133" t="str">
        <f>IFERROR('AM17'!J30,"")</f>
        <v/>
      </c>
      <c r="J27" s="133" t="str">
        <f>IFERROR('AM18'!J30,"")</f>
        <v/>
      </c>
      <c r="K27" s="139" t="str">
        <f t="shared" si="0"/>
        <v/>
      </c>
      <c r="M27" s="122" t="s">
        <v>244</v>
      </c>
      <c r="N27" s="122" t="str">
        <f t="shared" si="1"/>
        <v/>
      </c>
      <c r="O27" s="122">
        <v>2</v>
      </c>
    </row>
    <row r="28" spans="2:15" ht="25.5" customHeight="1" x14ac:dyDescent="0.35">
      <c r="B28" s="28" t="s">
        <v>245</v>
      </c>
      <c r="C28" s="85" t="s">
        <v>174</v>
      </c>
      <c r="D28" s="86" t="s">
        <v>94</v>
      </c>
      <c r="E28" s="134" t="str">
        <f>IFERROR('AM13'!J31,"")</f>
        <v/>
      </c>
      <c r="F28" s="134" t="str">
        <f>IFERROR('AM14'!J31,"")</f>
        <v/>
      </c>
      <c r="G28" s="134" t="str">
        <f>IFERROR('AM15'!J31,"")</f>
        <v/>
      </c>
      <c r="H28" s="134" t="str">
        <f>IFERROR('AM16'!J31,"")</f>
        <v/>
      </c>
      <c r="I28" s="134" t="str">
        <f>IFERROR('AM17'!J31,"")</f>
        <v/>
      </c>
      <c r="J28" s="134" t="str">
        <f>IFERROR('AM18'!J31,"")</f>
        <v/>
      </c>
      <c r="K28" s="139" t="str">
        <f t="shared" si="0"/>
        <v/>
      </c>
      <c r="M28" s="122" t="s">
        <v>246</v>
      </c>
      <c r="N28" s="122" t="str">
        <f t="shared" si="1"/>
        <v/>
      </c>
      <c r="O28" s="122">
        <v>2</v>
      </c>
    </row>
    <row r="29" spans="2:15" ht="25.5" customHeight="1" x14ac:dyDescent="0.35">
      <c r="B29" s="82" t="s">
        <v>247</v>
      </c>
      <c r="C29" s="83" t="s">
        <v>174</v>
      </c>
      <c r="D29" s="87" t="s">
        <v>94</v>
      </c>
      <c r="E29" s="133" t="str">
        <f>IFERROR('AM13'!J32,"")</f>
        <v/>
      </c>
      <c r="F29" s="133" t="str">
        <f>IFERROR('AM14'!J32,"")</f>
        <v/>
      </c>
      <c r="G29" s="133" t="str">
        <f>IFERROR('AM15'!J32,"")</f>
        <v/>
      </c>
      <c r="H29" s="133" t="str">
        <f>IFERROR('AM16'!J32,"")</f>
        <v/>
      </c>
      <c r="I29" s="133" t="str">
        <f>IFERROR('AM17'!J32,"")</f>
        <v/>
      </c>
      <c r="J29" s="133" t="str">
        <f>IFERROR('AM18'!J32,"")</f>
        <v/>
      </c>
      <c r="K29" s="139" t="str">
        <f t="shared" si="0"/>
        <v/>
      </c>
      <c r="M29" s="122" t="s">
        <v>248</v>
      </c>
      <c r="N29" s="122" t="str">
        <f t="shared" si="1"/>
        <v/>
      </c>
      <c r="O29" s="122">
        <v>2</v>
      </c>
    </row>
    <row r="30" spans="2:15" ht="25.5" customHeight="1" x14ac:dyDescent="0.35">
      <c r="B30" s="171" t="s">
        <v>304</v>
      </c>
      <c r="C30" s="171"/>
      <c r="D30" s="171"/>
      <c r="E30" s="140" t="str">
        <f t="shared" ref="E30:J30" si="2">IFERROR(AVERAGE(E8:E29),"")</f>
        <v/>
      </c>
      <c r="F30" s="140" t="str">
        <f t="shared" si="2"/>
        <v/>
      </c>
      <c r="G30" s="140" t="str">
        <f t="shared" si="2"/>
        <v/>
      </c>
      <c r="H30" s="140" t="str">
        <f t="shared" si="2"/>
        <v/>
      </c>
      <c r="I30" s="140" t="str">
        <f t="shared" si="2"/>
        <v/>
      </c>
      <c r="J30" s="140" t="str">
        <f t="shared" si="2"/>
        <v/>
      </c>
    </row>
  </sheetData>
  <mergeCells count="5">
    <mergeCell ref="B2:C4"/>
    <mergeCell ref="D2:Z2"/>
    <mergeCell ref="D3:Z4"/>
    <mergeCell ref="B5:Z5"/>
    <mergeCell ref="B30:D30"/>
  </mergeCells>
  <conditionalFormatting sqref="E8:J29">
    <cfRule type="cellIs" dxfId="5" priority="2" operator="equal">
      <formula>1</formula>
    </cfRule>
    <cfRule type="cellIs" dxfId="4" priority="3" operator="equal">
      <formula>2</formula>
    </cfRule>
    <cfRule type="cellIs" dxfId="3" priority="4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6B47B8"/>
  </sheetPr>
  <dimension ref="A1:AH30"/>
  <sheetViews>
    <sheetView showGridLines="0" showRowColHeader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54296875" defaultRowHeight="14.5" x14ac:dyDescent="0.35"/>
  <cols>
    <col min="1" max="1" width="1.54296875" customWidth="1"/>
    <col min="2" max="2" width="26" customWidth="1"/>
    <col min="3" max="4" width="6" customWidth="1"/>
    <col min="5" max="11" width="11" customWidth="1"/>
    <col min="12" max="12" width="10" customWidth="1"/>
    <col min="13" max="13" width="1.54296875" customWidth="1"/>
    <col min="14" max="16" width="12" customWidth="1"/>
  </cols>
  <sheetData>
    <row r="1" spans="1:34" ht="6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.75" customHeight="1" x14ac:dyDescent="0.35">
      <c r="A2" s="2"/>
      <c r="B2" s="158" t="s">
        <v>0</v>
      </c>
      <c r="C2" s="158"/>
      <c r="D2" s="159" t="s">
        <v>1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2"/>
      <c r="AB2" s="2"/>
      <c r="AC2" s="2"/>
      <c r="AD2" s="2"/>
      <c r="AE2" s="2"/>
      <c r="AF2" s="2"/>
      <c r="AG2" s="2"/>
      <c r="AH2" s="2"/>
    </row>
    <row r="3" spans="1:34" ht="27.75" customHeight="1" x14ac:dyDescent="0.35">
      <c r="A3" s="2"/>
      <c r="B3" s="158"/>
      <c r="C3" s="158"/>
      <c r="D3" s="160" t="s">
        <v>333</v>
      </c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2"/>
      <c r="AB3" s="2"/>
      <c r="AC3" s="2"/>
      <c r="AD3" s="2"/>
      <c r="AE3" s="2"/>
      <c r="AF3" s="2"/>
      <c r="AG3" s="2"/>
      <c r="AH3" s="2"/>
    </row>
    <row r="4" spans="1:34" ht="27.75" customHeight="1" x14ac:dyDescent="0.35">
      <c r="A4" s="2"/>
      <c r="B4" s="158"/>
      <c r="C4" s="158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2"/>
      <c r="AB4" s="2"/>
      <c r="AC4" s="2"/>
      <c r="AD4" s="2"/>
      <c r="AE4" s="2"/>
      <c r="AF4" s="2"/>
      <c r="AG4" s="2"/>
      <c r="AH4" s="2"/>
    </row>
    <row r="5" spans="1:34" ht="19.5" customHeight="1" x14ac:dyDescent="0.35">
      <c r="A5" s="2"/>
      <c r="B5" s="161" t="s">
        <v>334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2"/>
      <c r="AB5" s="2"/>
      <c r="AC5" s="2"/>
      <c r="AD5" s="2"/>
      <c r="AE5" s="2"/>
      <c r="AF5" s="2"/>
      <c r="AG5" s="2"/>
      <c r="AH5" s="2"/>
    </row>
    <row r="6" spans="1:34" ht="3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7.5" customHeight="1" x14ac:dyDescent="0.35">
      <c r="B7" s="118" t="s">
        <v>78</v>
      </c>
      <c r="C7" s="118" t="s">
        <v>80</v>
      </c>
      <c r="D7" s="118" t="s">
        <v>308</v>
      </c>
      <c r="E7" s="97" t="s">
        <v>335</v>
      </c>
      <c r="F7" s="97" t="s">
        <v>336</v>
      </c>
      <c r="G7" s="97" t="s">
        <v>337</v>
      </c>
      <c r="H7" s="97" t="s">
        <v>338</v>
      </c>
      <c r="I7" s="97" t="s">
        <v>339</v>
      </c>
      <c r="J7" s="97" t="s">
        <v>340</v>
      </c>
      <c r="K7" s="97" t="s">
        <v>341</v>
      </c>
      <c r="L7" s="141" t="s">
        <v>315</v>
      </c>
      <c r="N7" s="45" t="s">
        <v>78</v>
      </c>
      <c r="O7" s="45" t="s">
        <v>316</v>
      </c>
      <c r="P7" s="45" t="s">
        <v>206</v>
      </c>
    </row>
    <row r="8" spans="1:34" ht="25.5" customHeight="1" x14ac:dyDescent="0.35">
      <c r="B8" s="5" t="s">
        <v>207</v>
      </c>
      <c r="C8" s="4" t="s">
        <v>0</v>
      </c>
      <c r="D8" s="4" t="s">
        <v>88</v>
      </c>
      <c r="E8" s="120" t="str">
        <f>IFERROR('Brian Casserly'!J11,"")</f>
        <v/>
      </c>
      <c r="F8" s="120" t="str">
        <f>IFERROR('Vishal Nayak'!J11,"")</f>
        <v/>
      </c>
      <c r="G8" s="120" t="str">
        <f>IFERROR('Franky Chan'!J11,"")</f>
        <v/>
      </c>
      <c r="H8" s="120" t="str">
        <f>IFERROR('AM22'!J11,"")</f>
        <v/>
      </c>
      <c r="I8" s="120" t="str">
        <f>IFERROR('AM23'!J11,"")</f>
        <v/>
      </c>
      <c r="J8" s="120" t="str">
        <f>IFERROR('AM24'!J11,"")</f>
        <v/>
      </c>
      <c r="K8" s="120" t="str">
        <f>IFERROR('AM25'!J11,"")</f>
        <v/>
      </c>
      <c r="L8" s="142" t="str">
        <f t="shared" ref="L8:L29" si="0">IFERROR(AVERAGE(E8,F8,G8,H8,I8,J8,K8),"")</f>
        <v/>
      </c>
      <c r="N8" s="122" t="s">
        <v>208</v>
      </c>
      <c r="O8" s="122" t="str">
        <f t="shared" ref="O8:O29" si="1">L8</f>
        <v/>
      </c>
      <c r="P8" s="122">
        <v>2</v>
      </c>
    </row>
    <row r="9" spans="1:34" ht="25.5" customHeight="1" x14ac:dyDescent="0.35">
      <c r="B9" s="53" t="s">
        <v>209</v>
      </c>
      <c r="C9" s="54" t="s">
        <v>93</v>
      </c>
      <c r="D9" s="55" t="s">
        <v>94</v>
      </c>
      <c r="E9" s="123" t="str">
        <f>IFERROR('Brian Casserly'!J12,"")</f>
        <v/>
      </c>
      <c r="F9" s="123" t="str">
        <f>IFERROR('Vishal Nayak'!J12,"")</f>
        <v/>
      </c>
      <c r="G9" s="123" t="str">
        <f>IFERROR('Franky Chan'!J12,"")</f>
        <v/>
      </c>
      <c r="H9" s="123" t="str">
        <f>IFERROR('AM22'!J12,"")</f>
        <v/>
      </c>
      <c r="I9" s="123" t="str">
        <f>IFERROR('AM23'!J12,"")</f>
        <v/>
      </c>
      <c r="J9" s="123" t="str">
        <f>IFERROR('AM24'!J12,"")</f>
        <v/>
      </c>
      <c r="K9" s="123" t="str">
        <f>IFERROR('AM25'!J12,"")</f>
        <v/>
      </c>
      <c r="L9" s="142" t="str">
        <f t="shared" si="0"/>
        <v/>
      </c>
      <c r="N9" s="122" t="s">
        <v>210</v>
      </c>
      <c r="O9" s="122" t="str">
        <f t="shared" si="1"/>
        <v/>
      </c>
      <c r="P9" s="122">
        <v>2</v>
      </c>
    </row>
    <row r="10" spans="1:34" ht="25.5" customHeight="1" x14ac:dyDescent="0.35">
      <c r="B10" s="12" t="s">
        <v>211</v>
      </c>
      <c r="C10" s="61" t="s">
        <v>0</v>
      </c>
      <c r="D10" s="57" t="s">
        <v>94</v>
      </c>
      <c r="E10" s="124" t="str">
        <f>IFERROR('Brian Casserly'!J13,"")</f>
        <v/>
      </c>
      <c r="F10" s="124" t="str">
        <f>IFERROR('Vishal Nayak'!J13,"")</f>
        <v/>
      </c>
      <c r="G10" s="124" t="str">
        <f>IFERROR('Franky Chan'!J13,"")</f>
        <v/>
      </c>
      <c r="H10" s="124" t="str">
        <f>IFERROR('AM22'!J13,"")</f>
        <v/>
      </c>
      <c r="I10" s="124" t="str">
        <f>IFERROR('AM23'!J13,"")</f>
        <v/>
      </c>
      <c r="J10" s="124" t="str">
        <f>IFERROR('AM24'!J13,"")</f>
        <v/>
      </c>
      <c r="K10" s="124" t="str">
        <f>IFERROR('AM25'!J13,"")</f>
        <v/>
      </c>
      <c r="L10" s="142" t="str">
        <f t="shared" si="0"/>
        <v/>
      </c>
      <c r="N10" s="122" t="s">
        <v>212</v>
      </c>
      <c r="O10" s="122" t="str">
        <f t="shared" si="1"/>
        <v/>
      </c>
      <c r="P10" s="122">
        <v>2</v>
      </c>
    </row>
    <row r="11" spans="1:34" ht="25.5" customHeight="1" x14ac:dyDescent="0.35">
      <c r="B11" s="58" t="s">
        <v>213</v>
      </c>
      <c r="C11" s="125" t="s">
        <v>0</v>
      </c>
      <c r="D11" s="60" t="s">
        <v>94</v>
      </c>
      <c r="E11" s="126" t="str">
        <f>IFERROR('Brian Casserly'!J14,"")</f>
        <v/>
      </c>
      <c r="F11" s="126" t="str">
        <f>IFERROR('Vishal Nayak'!J14,"")</f>
        <v/>
      </c>
      <c r="G11" s="126" t="str">
        <f>IFERROR('Franky Chan'!J14,"")</f>
        <v/>
      </c>
      <c r="H11" s="126" t="str">
        <f>IFERROR('AM22'!J14,"")</f>
        <v/>
      </c>
      <c r="I11" s="126" t="str">
        <f>IFERROR('AM23'!J14,"")</f>
        <v/>
      </c>
      <c r="J11" s="126" t="str">
        <f>IFERROR('AM24'!J14,"")</f>
        <v/>
      </c>
      <c r="K11" s="126" t="str">
        <f>IFERROR('AM25'!J14,"")</f>
        <v/>
      </c>
      <c r="L11" s="142" t="str">
        <f t="shared" si="0"/>
        <v/>
      </c>
      <c r="N11" s="122" t="s">
        <v>213</v>
      </c>
      <c r="O11" s="122" t="str">
        <f t="shared" si="1"/>
        <v/>
      </c>
      <c r="P11" s="122">
        <v>2</v>
      </c>
    </row>
    <row r="12" spans="1:34" ht="25.5" customHeight="1" x14ac:dyDescent="0.35">
      <c r="B12" s="12" t="s">
        <v>214</v>
      </c>
      <c r="C12" s="61" t="s">
        <v>93</v>
      </c>
      <c r="D12" s="57" t="s">
        <v>94</v>
      </c>
      <c r="E12" s="124" t="str">
        <f>IFERROR('Brian Casserly'!J15,"")</f>
        <v/>
      </c>
      <c r="F12" s="124" t="str">
        <f>IFERROR('Vishal Nayak'!J15,"")</f>
        <v/>
      </c>
      <c r="G12" s="124" t="str">
        <f>IFERROR('Franky Chan'!J15,"")</f>
        <v/>
      </c>
      <c r="H12" s="124" t="str">
        <f>IFERROR('AM22'!J15,"")</f>
        <v/>
      </c>
      <c r="I12" s="124" t="str">
        <f>IFERROR('AM23'!J15,"")</f>
        <v/>
      </c>
      <c r="J12" s="124" t="str">
        <f>IFERROR('AM24'!J15,"")</f>
        <v/>
      </c>
      <c r="K12" s="124" t="str">
        <f>IFERROR('AM25'!J15,"")</f>
        <v/>
      </c>
      <c r="L12" s="142" t="str">
        <f t="shared" si="0"/>
        <v/>
      </c>
      <c r="N12" s="122" t="s">
        <v>215</v>
      </c>
      <c r="O12" s="122" t="str">
        <f t="shared" si="1"/>
        <v/>
      </c>
      <c r="P12" s="122">
        <v>2</v>
      </c>
    </row>
    <row r="13" spans="1:34" ht="25.5" customHeight="1" x14ac:dyDescent="0.35">
      <c r="B13" s="62" t="s">
        <v>216</v>
      </c>
      <c r="C13" s="68" t="s">
        <v>0</v>
      </c>
      <c r="D13" s="64" t="s">
        <v>94</v>
      </c>
      <c r="E13" s="127" t="str">
        <f>IFERROR('Brian Casserly'!J16,"")</f>
        <v/>
      </c>
      <c r="F13" s="127" t="str">
        <f>IFERROR('Vishal Nayak'!J16,"")</f>
        <v/>
      </c>
      <c r="G13" s="127" t="str">
        <f>IFERROR('Franky Chan'!J16,"")</f>
        <v/>
      </c>
      <c r="H13" s="127" t="str">
        <f>IFERROR('AM22'!J16,"")</f>
        <v/>
      </c>
      <c r="I13" s="127" t="str">
        <f>IFERROR('AM23'!J16,"")</f>
        <v/>
      </c>
      <c r="J13" s="127" t="str">
        <f>IFERROR('AM24'!J16,"")</f>
        <v/>
      </c>
      <c r="K13" s="127" t="str">
        <f>IFERROR('AM25'!J16,"")</f>
        <v/>
      </c>
      <c r="L13" s="142" t="str">
        <f t="shared" si="0"/>
        <v/>
      </c>
      <c r="N13" s="122" t="s">
        <v>217</v>
      </c>
      <c r="O13" s="122" t="str">
        <f t="shared" si="1"/>
        <v/>
      </c>
      <c r="P13" s="122">
        <v>2</v>
      </c>
    </row>
    <row r="14" spans="1:34" ht="25.5" customHeight="1" x14ac:dyDescent="0.35">
      <c r="B14" s="16" t="s">
        <v>218</v>
      </c>
      <c r="C14" s="67" t="s">
        <v>0</v>
      </c>
      <c r="D14" s="66" t="s">
        <v>94</v>
      </c>
      <c r="E14" s="128" t="str">
        <f>IFERROR('Brian Casserly'!J17,"")</f>
        <v/>
      </c>
      <c r="F14" s="128" t="str">
        <f>IFERROR('Vishal Nayak'!J17,"")</f>
        <v/>
      </c>
      <c r="G14" s="128" t="str">
        <f>IFERROR('Franky Chan'!J17,"")</f>
        <v/>
      </c>
      <c r="H14" s="128" t="str">
        <f>IFERROR('AM22'!J17,"")</f>
        <v/>
      </c>
      <c r="I14" s="128" t="str">
        <f>IFERROR('AM23'!J17,"")</f>
        <v/>
      </c>
      <c r="J14" s="128" t="str">
        <f>IFERROR('AM24'!J17,"")</f>
        <v/>
      </c>
      <c r="K14" s="128" t="str">
        <f>IFERROR('AM25'!J17,"")</f>
        <v/>
      </c>
      <c r="L14" s="142" t="str">
        <f t="shared" si="0"/>
        <v/>
      </c>
      <c r="N14" s="122" t="s">
        <v>219</v>
      </c>
      <c r="O14" s="122" t="str">
        <f t="shared" si="1"/>
        <v/>
      </c>
      <c r="P14" s="122">
        <v>2</v>
      </c>
    </row>
    <row r="15" spans="1:34" ht="25.5" customHeight="1" x14ac:dyDescent="0.35">
      <c r="B15" s="62" t="s">
        <v>220</v>
      </c>
      <c r="C15" s="68" t="s">
        <v>0</v>
      </c>
      <c r="D15" s="64" t="s">
        <v>94</v>
      </c>
      <c r="E15" s="127" t="str">
        <f>IFERROR('Brian Casserly'!J18,"")</f>
        <v/>
      </c>
      <c r="F15" s="127" t="str">
        <f>IFERROR('Vishal Nayak'!J18,"")</f>
        <v/>
      </c>
      <c r="G15" s="127" t="str">
        <f>IFERROR('Franky Chan'!J18,"")</f>
        <v/>
      </c>
      <c r="H15" s="127" t="str">
        <f>IFERROR('AM22'!J18,"")</f>
        <v/>
      </c>
      <c r="I15" s="127" t="str">
        <f>IFERROR('AM23'!J18,"")</f>
        <v/>
      </c>
      <c r="J15" s="127" t="str">
        <f>IFERROR('AM24'!J18,"")</f>
        <v/>
      </c>
      <c r="K15" s="127" t="str">
        <f>IFERROR('AM25'!J18,"")</f>
        <v/>
      </c>
      <c r="L15" s="142" t="str">
        <f t="shared" si="0"/>
        <v/>
      </c>
      <c r="N15" s="122" t="s">
        <v>221</v>
      </c>
      <c r="O15" s="122" t="str">
        <f t="shared" si="1"/>
        <v/>
      </c>
      <c r="P15" s="122">
        <v>2</v>
      </c>
    </row>
    <row r="16" spans="1:34" ht="25.5" customHeight="1" x14ac:dyDescent="0.35">
      <c r="B16" s="16" t="s">
        <v>124</v>
      </c>
      <c r="C16" s="67" t="s">
        <v>93</v>
      </c>
      <c r="D16" s="66" t="s">
        <v>94</v>
      </c>
      <c r="E16" s="128" t="str">
        <f>IFERROR('Brian Casserly'!J19,"")</f>
        <v/>
      </c>
      <c r="F16" s="128" t="str">
        <f>IFERROR('Vishal Nayak'!J19,"")</f>
        <v/>
      </c>
      <c r="G16" s="128" t="str">
        <f>IFERROR('Franky Chan'!J19,"")</f>
        <v/>
      </c>
      <c r="H16" s="128" t="str">
        <f>IFERROR('AM22'!J19,"")</f>
        <v/>
      </c>
      <c r="I16" s="128" t="str">
        <f>IFERROR('AM23'!J19,"")</f>
        <v/>
      </c>
      <c r="J16" s="128" t="str">
        <f>IFERROR('AM24'!J19,"")</f>
        <v/>
      </c>
      <c r="K16" s="128" t="str">
        <f>IFERROR('AM25'!J19,"")</f>
        <v/>
      </c>
      <c r="L16" s="142" t="str">
        <f t="shared" si="0"/>
        <v/>
      </c>
      <c r="N16" s="122" t="s">
        <v>222</v>
      </c>
      <c r="O16" s="122" t="str">
        <f t="shared" si="1"/>
        <v/>
      </c>
      <c r="P16" s="122">
        <v>2</v>
      </c>
    </row>
    <row r="17" spans="2:16" ht="25.5" customHeight="1" x14ac:dyDescent="0.35">
      <c r="B17" s="62" t="s">
        <v>223</v>
      </c>
      <c r="C17" s="68" t="s">
        <v>93</v>
      </c>
      <c r="D17" s="64" t="s">
        <v>94</v>
      </c>
      <c r="E17" s="127" t="str">
        <f>IFERROR('Brian Casserly'!J20,"")</f>
        <v/>
      </c>
      <c r="F17" s="127" t="str">
        <f>IFERROR('Vishal Nayak'!J20,"")</f>
        <v/>
      </c>
      <c r="G17" s="127" t="str">
        <f>IFERROR('Franky Chan'!J20,"")</f>
        <v/>
      </c>
      <c r="H17" s="127" t="str">
        <f>IFERROR('AM22'!J20,"")</f>
        <v/>
      </c>
      <c r="I17" s="127" t="str">
        <f>IFERROR('AM23'!J20,"")</f>
        <v/>
      </c>
      <c r="J17" s="127" t="str">
        <f>IFERROR('AM24'!J20,"")</f>
        <v/>
      </c>
      <c r="K17" s="127" t="str">
        <f>IFERROR('AM25'!J20,"")</f>
        <v/>
      </c>
      <c r="L17" s="142" t="str">
        <f t="shared" si="0"/>
        <v/>
      </c>
      <c r="N17" s="122" t="s">
        <v>224</v>
      </c>
      <c r="O17" s="122" t="str">
        <f t="shared" si="1"/>
        <v/>
      </c>
      <c r="P17" s="122">
        <v>2</v>
      </c>
    </row>
    <row r="18" spans="2:16" ht="25.5" customHeight="1" x14ac:dyDescent="0.35">
      <c r="B18" s="16" t="s">
        <v>225</v>
      </c>
      <c r="C18" s="67" t="s">
        <v>93</v>
      </c>
      <c r="D18" s="66" t="s">
        <v>94</v>
      </c>
      <c r="E18" s="128" t="str">
        <f>IFERROR('Brian Casserly'!J21,"")</f>
        <v/>
      </c>
      <c r="F18" s="128" t="str">
        <f>IFERROR('Vishal Nayak'!J21,"")</f>
        <v/>
      </c>
      <c r="G18" s="128" t="str">
        <f>IFERROR('Franky Chan'!J21,"")</f>
        <v/>
      </c>
      <c r="H18" s="128" t="str">
        <f>IFERROR('AM22'!J21,"")</f>
        <v/>
      </c>
      <c r="I18" s="128" t="str">
        <f>IFERROR('AM23'!J21,"")</f>
        <v/>
      </c>
      <c r="J18" s="128" t="str">
        <f>IFERROR('AM24'!J21,"")</f>
        <v/>
      </c>
      <c r="K18" s="128" t="str">
        <f>IFERROR('AM25'!J21,"")</f>
        <v/>
      </c>
      <c r="L18" s="142" t="str">
        <f t="shared" si="0"/>
        <v/>
      </c>
      <c r="N18" s="122" t="s">
        <v>226</v>
      </c>
      <c r="O18" s="122" t="str">
        <f t="shared" si="1"/>
        <v/>
      </c>
      <c r="P18" s="122">
        <v>2</v>
      </c>
    </row>
    <row r="19" spans="2:16" ht="25.5" customHeight="1" x14ac:dyDescent="0.35">
      <c r="B19" s="69" t="s">
        <v>227</v>
      </c>
      <c r="C19" s="74" t="s">
        <v>0</v>
      </c>
      <c r="D19" s="71" t="s">
        <v>94</v>
      </c>
      <c r="E19" s="129" t="str">
        <f>IFERROR('Brian Casserly'!J22,"")</f>
        <v/>
      </c>
      <c r="F19" s="129" t="str">
        <f>IFERROR('Vishal Nayak'!J22,"")</f>
        <v/>
      </c>
      <c r="G19" s="129" t="str">
        <f>IFERROR('Franky Chan'!J22,"")</f>
        <v/>
      </c>
      <c r="H19" s="129" t="str">
        <f>IFERROR('AM22'!J22,"")</f>
        <v/>
      </c>
      <c r="I19" s="129" t="str">
        <f>IFERROR('AM23'!J22,"")</f>
        <v/>
      </c>
      <c r="J19" s="129" t="str">
        <f>IFERROR('AM24'!J22,"")</f>
        <v/>
      </c>
      <c r="K19" s="129" t="str">
        <f>IFERROR('AM25'!J22,"")</f>
        <v/>
      </c>
      <c r="L19" s="142" t="str">
        <f t="shared" si="0"/>
        <v/>
      </c>
      <c r="N19" s="122" t="s">
        <v>228</v>
      </c>
      <c r="O19" s="122" t="str">
        <f t="shared" si="1"/>
        <v/>
      </c>
      <c r="P19" s="122">
        <v>2</v>
      </c>
    </row>
    <row r="20" spans="2:16" ht="25.5" customHeight="1" x14ac:dyDescent="0.35">
      <c r="B20" s="20" t="s">
        <v>229</v>
      </c>
      <c r="C20" s="75" t="s">
        <v>0</v>
      </c>
      <c r="D20" s="73" t="s">
        <v>94</v>
      </c>
      <c r="E20" s="130" t="str">
        <f>IFERROR('Brian Casserly'!J23,"")</f>
        <v/>
      </c>
      <c r="F20" s="130" t="str">
        <f>IFERROR('Vishal Nayak'!J23,"")</f>
        <v/>
      </c>
      <c r="G20" s="130" t="str">
        <f>IFERROR('Franky Chan'!J23,"")</f>
        <v/>
      </c>
      <c r="H20" s="130" t="str">
        <f>IFERROR('AM22'!J23,"")</f>
        <v/>
      </c>
      <c r="I20" s="130" t="str">
        <f>IFERROR('AM23'!J23,"")</f>
        <v/>
      </c>
      <c r="J20" s="130" t="str">
        <f>IFERROR('AM24'!J23,"")</f>
        <v/>
      </c>
      <c r="K20" s="130" t="str">
        <f>IFERROR('AM25'!J23,"")</f>
        <v/>
      </c>
      <c r="L20" s="142" t="str">
        <f t="shared" si="0"/>
        <v/>
      </c>
      <c r="N20" s="122" t="s">
        <v>230</v>
      </c>
      <c r="O20" s="122" t="str">
        <f t="shared" si="1"/>
        <v/>
      </c>
      <c r="P20" s="122">
        <v>2</v>
      </c>
    </row>
    <row r="21" spans="2:16" ht="25.5" customHeight="1" x14ac:dyDescent="0.35">
      <c r="B21" s="69" t="s">
        <v>231</v>
      </c>
      <c r="C21" s="74" t="s">
        <v>93</v>
      </c>
      <c r="D21" s="71" t="s">
        <v>94</v>
      </c>
      <c r="E21" s="129" t="str">
        <f>IFERROR('Brian Casserly'!J24,"")</f>
        <v/>
      </c>
      <c r="F21" s="129" t="str">
        <f>IFERROR('Vishal Nayak'!J24,"")</f>
        <v/>
      </c>
      <c r="G21" s="129" t="str">
        <f>IFERROR('Franky Chan'!J24,"")</f>
        <v/>
      </c>
      <c r="H21" s="129" t="str">
        <f>IFERROR('AM22'!J24,"")</f>
        <v/>
      </c>
      <c r="I21" s="129" t="str">
        <f>IFERROR('AM23'!J24,"")</f>
        <v/>
      </c>
      <c r="J21" s="129" t="str">
        <f>IFERROR('AM24'!J24,"")</f>
        <v/>
      </c>
      <c r="K21" s="129" t="str">
        <f>IFERROR('AM25'!J24,"")</f>
        <v/>
      </c>
      <c r="L21" s="142" t="str">
        <f t="shared" si="0"/>
        <v/>
      </c>
      <c r="N21" s="122" t="s">
        <v>232</v>
      </c>
      <c r="O21" s="122" t="str">
        <f t="shared" si="1"/>
        <v/>
      </c>
      <c r="P21" s="122">
        <v>2</v>
      </c>
    </row>
    <row r="22" spans="2:16" ht="25.5" customHeight="1" x14ac:dyDescent="0.35">
      <c r="B22" s="20" t="s">
        <v>233</v>
      </c>
      <c r="C22" s="75" t="s">
        <v>93</v>
      </c>
      <c r="D22" s="73" t="s">
        <v>94</v>
      </c>
      <c r="E22" s="130" t="str">
        <f>IFERROR('Brian Casserly'!J25,"")</f>
        <v/>
      </c>
      <c r="F22" s="130" t="str">
        <f>IFERROR('Vishal Nayak'!J25,"")</f>
        <v/>
      </c>
      <c r="G22" s="130" t="str">
        <f>IFERROR('Franky Chan'!J25,"")</f>
        <v/>
      </c>
      <c r="H22" s="130" t="str">
        <f>IFERROR('AM22'!J25,"")</f>
        <v/>
      </c>
      <c r="I22" s="130" t="str">
        <f>IFERROR('AM23'!J25,"")</f>
        <v/>
      </c>
      <c r="J22" s="130" t="str">
        <f>IFERROR('AM24'!J25,"")</f>
        <v/>
      </c>
      <c r="K22" s="130" t="str">
        <f>IFERROR('AM25'!J25,"")</f>
        <v/>
      </c>
      <c r="L22" s="142" t="str">
        <f t="shared" si="0"/>
        <v/>
      </c>
      <c r="N22" s="122" t="s">
        <v>234</v>
      </c>
      <c r="O22" s="122" t="str">
        <f t="shared" si="1"/>
        <v/>
      </c>
      <c r="P22" s="122">
        <v>2</v>
      </c>
    </row>
    <row r="23" spans="2:16" ht="25.5" customHeight="1" x14ac:dyDescent="0.35">
      <c r="B23" s="76" t="s">
        <v>235</v>
      </c>
      <c r="C23" s="77" t="s">
        <v>155</v>
      </c>
      <c r="D23" s="78" t="s">
        <v>88</v>
      </c>
      <c r="E23" s="131" t="str">
        <f>IFERROR('Brian Casserly'!J26,"")</f>
        <v/>
      </c>
      <c r="F23" s="131" t="str">
        <f>IFERROR('Vishal Nayak'!J26,"")</f>
        <v/>
      </c>
      <c r="G23" s="131" t="str">
        <f>IFERROR('Franky Chan'!J26,"")</f>
        <v/>
      </c>
      <c r="H23" s="131" t="str">
        <f>IFERROR('AM22'!J26,"")</f>
        <v/>
      </c>
      <c r="I23" s="131" t="str">
        <f>IFERROR('AM23'!J26,"")</f>
        <v/>
      </c>
      <c r="J23" s="131" t="str">
        <f>IFERROR('AM24'!J26,"")</f>
        <v/>
      </c>
      <c r="K23" s="131" t="str">
        <f>IFERROR('AM25'!J26,"")</f>
        <v/>
      </c>
      <c r="L23" s="142" t="str">
        <f t="shared" si="0"/>
        <v/>
      </c>
      <c r="N23" s="122" t="s">
        <v>236</v>
      </c>
      <c r="O23" s="122" t="str">
        <f t="shared" si="1"/>
        <v/>
      </c>
      <c r="P23" s="122">
        <v>2</v>
      </c>
    </row>
    <row r="24" spans="2:16" ht="25.5" customHeight="1" x14ac:dyDescent="0.35">
      <c r="B24" s="24" t="s">
        <v>237</v>
      </c>
      <c r="C24" s="79" t="s">
        <v>155</v>
      </c>
      <c r="D24" s="80" t="s">
        <v>94</v>
      </c>
      <c r="E24" s="132" t="str">
        <f>IFERROR('Brian Casserly'!J27,"")</f>
        <v/>
      </c>
      <c r="F24" s="132" t="str">
        <f>IFERROR('Vishal Nayak'!J27,"")</f>
        <v/>
      </c>
      <c r="G24" s="132" t="str">
        <f>IFERROR('Franky Chan'!J27,"")</f>
        <v/>
      </c>
      <c r="H24" s="132" t="str">
        <f>IFERROR('AM22'!J27,"")</f>
        <v/>
      </c>
      <c r="I24" s="132" t="str">
        <f>IFERROR('AM23'!J27,"")</f>
        <v/>
      </c>
      <c r="J24" s="132" t="str">
        <f>IFERROR('AM24'!J27,"")</f>
        <v/>
      </c>
      <c r="K24" s="132" t="str">
        <f>IFERROR('AM25'!J27,"")</f>
        <v/>
      </c>
      <c r="L24" s="142" t="str">
        <f t="shared" si="0"/>
        <v/>
      </c>
      <c r="N24" s="122" t="s">
        <v>238</v>
      </c>
      <c r="O24" s="122" t="str">
        <f t="shared" si="1"/>
        <v/>
      </c>
      <c r="P24" s="122">
        <v>2</v>
      </c>
    </row>
    <row r="25" spans="2:16" ht="25.5" customHeight="1" x14ac:dyDescent="0.35">
      <c r="B25" s="76" t="s">
        <v>239</v>
      </c>
      <c r="C25" s="77" t="s">
        <v>155</v>
      </c>
      <c r="D25" s="81" t="s">
        <v>94</v>
      </c>
      <c r="E25" s="131" t="str">
        <f>IFERROR('Brian Casserly'!J28,"")</f>
        <v/>
      </c>
      <c r="F25" s="131" t="str">
        <f>IFERROR('Vishal Nayak'!J28,"")</f>
        <v/>
      </c>
      <c r="G25" s="131" t="str">
        <f>IFERROR('Franky Chan'!J28,"")</f>
        <v/>
      </c>
      <c r="H25" s="131" t="str">
        <f>IFERROR('AM22'!J28,"")</f>
        <v/>
      </c>
      <c r="I25" s="131" t="str">
        <f>IFERROR('AM23'!J28,"")</f>
        <v/>
      </c>
      <c r="J25" s="131" t="str">
        <f>IFERROR('AM24'!J28,"")</f>
        <v/>
      </c>
      <c r="K25" s="131" t="str">
        <f>IFERROR('AM25'!J28,"")</f>
        <v/>
      </c>
      <c r="L25" s="142" t="str">
        <f t="shared" si="0"/>
        <v/>
      </c>
      <c r="N25" s="122" t="s">
        <v>240</v>
      </c>
      <c r="O25" s="122" t="str">
        <f t="shared" si="1"/>
        <v/>
      </c>
      <c r="P25" s="122">
        <v>2</v>
      </c>
    </row>
    <row r="26" spans="2:16" ht="25.5" customHeight="1" x14ac:dyDescent="0.35">
      <c r="B26" s="24" t="s">
        <v>241</v>
      </c>
      <c r="C26" s="79" t="s">
        <v>155</v>
      </c>
      <c r="D26" s="80" t="s">
        <v>94</v>
      </c>
      <c r="E26" s="132" t="str">
        <f>IFERROR('Brian Casserly'!J29,"")</f>
        <v/>
      </c>
      <c r="F26" s="132" t="str">
        <f>IFERROR('Vishal Nayak'!J29,"")</f>
        <v/>
      </c>
      <c r="G26" s="132" t="str">
        <f>IFERROR('Franky Chan'!J29,"")</f>
        <v/>
      </c>
      <c r="H26" s="132" t="str">
        <f>IFERROR('AM22'!J29,"")</f>
        <v/>
      </c>
      <c r="I26" s="132" t="str">
        <f>IFERROR('AM23'!J29,"")</f>
        <v/>
      </c>
      <c r="J26" s="132" t="str">
        <f>IFERROR('AM24'!J29,"")</f>
        <v/>
      </c>
      <c r="K26" s="132" t="str">
        <f>IFERROR('AM25'!J29,"")</f>
        <v/>
      </c>
      <c r="L26" s="142" t="str">
        <f t="shared" si="0"/>
        <v/>
      </c>
      <c r="N26" s="122" t="s">
        <v>242</v>
      </c>
      <c r="O26" s="122" t="str">
        <f t="shared" si="1"/>
        <v/>
      </c>
      <c r="P26" s="122">
        <v>2</v>
      </c>
    </row>
    <row r="27" spans="2:16" ht="25.5" customHeight="1" x14ac:dyDescent="0.35">
      <c r="B27" s="82" t="s">
        <v>243</v>
      </c>
      <c r="C27" s="83" t="s">
        <v>174</v>
      </c>
      <c r="D27" s="84" t="s">
        <v>88</v>
      </c>
      <c r="E27" s="133" t="str">
        <f>IFERROR('Brian Casserly'!J30,"")</f>
        <v/>
      </c>
      <c r="F27" s="133" t="str">
        <f>IFERROR('Vishal Nayak'!J30,"")</f>
        <v/>
      </c>
      <c r="G27" s="133" t="str">
        <f>IFERROR('Franky Chan'!J30,"")</f>
        <v/>
      </c>
      <c r="H27" s="133" t="str">
        <f>IFERROR('AM22'!J30,"")</f>
        <v/>
      </c>
      <c r="I27" s="133" t="str">
        <f>IFERROR('AM23'!J30,"")</f>
        <v/>
      </c>
      <c r="J27" s="133" t="str">
        <f>IFERROR('AM24'!J30,"")</f>
        <v/>
      </c>
      <c r="K27" s="133" t="str">
        <f>IFERROR('AM25'!J30,"")</f>
        <v/>
      </c>
      <c r="L27" s="142" t="str">
        <f t="shared" si="0"/>
        <v/>
      </c>
      <c r="N27" s="122" t="s">
        <v>244</v>
      </c>
      <c r="O27" s="122" t="str">
        <f t="shared" si="1"/>
        <v/>
      </c>
      <c r="P27" s="122">
        <v>2</v>
      </c>
    </row>
    <row r="28" spans="2:16" ht="25.5" customHeight="1" x14ac:dyDescent="0.35">
      <c r="B28" s="28" t="s">
        <v>245</v>
      </c>
      <c r="C28" s="85" t="s">
        <v>174</v>
      </c>
      <c r="D28" s="86" t="s">
        <v>94</v>
      </c>
      <c r="E28" s="134" t="str">
        <f>IFERROR('Brian Casserly'!J31,"")</f>
        <v/>
      </c>
      <c r="F28" s="134" t="str">
        <f>IFERROR('Vishal Nayak'!J31,"")</f>
        <v/>
      </c>
      <c r="G28" s="134" t="str">
        <f>IFERROR('Franky Chan'!J31,"")</f>
        <v/>
      </c>
      <c r="H28" s="134" t="str">
        <f>IFERROR('AM22'!J31,"")</f>
        <v/>
      </c>
      <c r="I28" s="134" t="str">
        <f>IFERROR('AM23'!J31,"")</f>
        <v/>
      </c>
      <c r="J28" s="134" t="str">
        <f>IFERROR('AM24'!J31,"")</f>
        <v/>
      </c>
      <c r="K28" s="134" t="str">
        <f>IFERROR('AM25'!J31,"")</f>
        <v/>
      </c>
      <c r="L28" s="142" t="str">
        <f t="shared" si="0"/>
        <v/>
      </c>
      <c r="N28" s="122" t="s">
        <v>246</v>
      </c>
      <c r="O28" s="122" t="str">
        <f t="shared" si="1"/>
        <v/>
      </c>
      <c r="P28" s="122">
        <v>2</v>
      </c>
    </row>
    <row r="29" spans="2:16" ht="25.5" customHeight="1" x14ac:dyDescent="0.35">
      <c r="B29" s="82" t="s">
        <v>247</v>
      </c>
      <c r="C29" s="83" t="s">
        <v>174</v>
      </c>
      <c r="D29" s="87" t="s">
        <v>94</v>
      </c>
      <c r="E29" s="133" t="str">
        <f>IFERROR('Brian Casserly'!J32,"")</f>
        <v/>
      </c>
      <c r="F29" s="133" t="str">
        <f>IFERROR('Vishal Nayak'!J32,"")</f>
        <v/>
      </c>
      <c r="G29" s="133" t="str">
        <f>IFERROR('Franky Chan'!J32,"")</f>
        <v/>
      </c>
      <c r="H29" s="133" t="str">
        <f>IFERROR('AM22'!J32,"")</f>
        <v/>
      </c>
      <c r="I29" s="133" t="str">
        <f>IFERROR('AM23'!J32,"")</f>
        <v/>
      </c>
      <c r="J29" s="133" t="str">
        <f>IFERROR('AM24'!J32,"")</f>
        <v/>
      </c>
      <c r="K29" s="133" t="str">
        <f>IFERROR('AM25'!J32,"")</f>
        <v/>
      </c>
      <c r="L29" s="142" t="str">
        <f t="shared" si="0"/>
        <v/>
      </c>
      <c r="N29" s="122" t="s">
        <v>248</v>
      </c>
      <c r="O29" s="122" t="str">
        <f t="shared" si="1"/>
        <v/>
      </c>
      <c r="P29" s="122">
        <v>2</v>
      </c>
    </row>
    <row r="30" spans="2:16" ht="25.5" customHeight="1" x14ac:dyDescent="0.35">
      <c r="B30" s="172" t="s">
        <v>305</v>
      </c>
      <c r="C30" s="172"/>
      <c r="D30" s="172"/>
      <c r="E30" s="143" t="str">
        <f t="shared" ref="E30:K30" si="2">IFERROR(AVERAGE(E8:E29),"")</f>
        <v/>
      </c>
      <c r="F30" s="143" t="str">
        <f t="shared" si="2"/>
        <v/>
      </c>
      <c r="G30" s="143" t="str">
        <f t="shared" si="2"/>
        <v/>
      </c>
      <c r="H30" s="143" t="str">
        <f t="shared" si="2"/>
        <v/>
      </c>
      <c r="I30" s="143" t="str">
        <f t="shared" si="2"/>
        <v/>
      </c>
      <c r="J30" s="143" t="str">
        <f t="shared" si="2"/>
        <v/>
      </c>
      <c r="K30" s="143" t="str">
        <f t="shared" si="2"/>
        <v/>
      </c>
    </row>
  </sheetData>
  <mergeCells count="5">
    <mergeCell ref="B2:C4"/>
    <mergeCell ref="D2:Z2"/>
    <mergeCell ref="D3:Z4"/>
    <mergeCell ref="B5:Z5"/>
    <mergeCell ref="B30:D30"/>
  </mergeCells>
  <conditionalFormatting sqref="E8:K29"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▶ Cover (2)</vt:lpstr>
      <vt:lpstr>▶ Capability Guide</vt:lpstr>
      <vt:lpstr>Employee 1</vt:lpstr>
      <vt:lpstr>Mohamed MARZOUK</vt:lpstr>
      <vt:lpstr>Basim El-Subihy</vt:lpstr>
      <vt:lpstr>Biju Mathew</vt:lpstr>
      <vt:lpstr>Oseid Mohamemed Faqih</vt:lpstr>
      <vt:lpstr>Kamel Bedrane</vt:lpstr>
      <vt:lpstr>Moamen Mohamed Ahmed Ibrahim</vt:lpstr>
      <vt:lpstr>Ahmed Abdel-Maugod</vt:lpstr>
      <vt:lpstr>Moteeb Albaqami</vt:lpstr>
      <vt:lpstr>Anny Rodrigues de Assis </vt:lpstr>
      <vt:lpstr>Eduardo Salles de Carvalho</vt:lpstr>
      <vt:lpstr>Marco Antonio Martins</vt:lpstr>
      <vt:lpstr>AM13</vt:lpstr>
      <vt:lpstr>AM14</vt:lpstr>
      <vt:lpstr>AM15</vt:lpstr>
      <vt:lpstr>AM16</vt:lpstr>
      <vt:lpstr>AM17</vt:lpstr>
      <vt:lpstr>AM18</vt:lpstr>
      <vt:lpstr>Brian Casserly</vt:lpstr>
      <vt:lpstr>Vishal Nayak</vt:lpstr>
      <vt:lpstr>Franky Chan</vt:lpstr>
      <vt:lpstr>AM22</vt:lpstr>
      <vt:lpstr>AM23</vt:lpstr>
      <vt:lpstr>AM24</vt:lpstr>
      <vt:lpstr>AM25</vt:lpstr>
      <vt:lpstr>▶ Consolidation</vt:lpstr>
      <vt:lpstr>▶ Zone MEA</vt:lpstr>
      <vt:lpstr>▶ Zone SAM</vt:lpstr>
      <vt:lpstr>▶ Zone India</vt:lpstr>
      <vt:lpstr>▶ Zone Pacific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Kandil</dc:creator>
  <cp:keywords/>
  <dc:description/>
  <cp:lastModifiedBy>Colline NGALEAU</cp:lastModifiedBy>
  <cp:revision>1</cp:revision>
  <dcterms:created xsi:type="dcterms:W3CDTF">2026-06-29T10:15:27Z</dcterms:created>
  <dcterms:modified xsi:type="dcterms:W3CDTF">2026-07-17T10:46:37Z</dcterms:modified>
  <cp:category/>
  <cp:contentStatus/>
</cp:coreProperties>
</file>